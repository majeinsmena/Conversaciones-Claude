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arámetros" sheetId="2" state="visible" r:id="rId4"/>
    <sheet name="Empleados" sheetId="3" state="visible" r:id="rId5"/>
    <sheet name="Registro Vacaciones" sheetId="4" state="visible" r:id="rId6"/>
  </sheets>
  <definedNames>
    <definedName function="false" hidden="true" localSheetId="2" name="_xlnm._FilterDatabase" vbProcedure="false">Empleados!$A$4:$P$64</definedName>
    <definedName function="false" hidden="true" localSheetId="3" name="_xlnm._FilterDatabase" vbProcedure="false">'Registro Vacaciones'!$A$4:$K$504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Arial"/>
            <family val="2"/>
          </rPr>
          <t xml:space="preserve">Días ganados en periodos anteriores y aún no disfrutados (captura manual al implementar el control).</t>
        </r>
      </text>
    </comment>
    <comment ref="L4" authorId="0">
      <text>
        <r>
          <rPr>
            <sz val="10"/>
            <rFont val="Arial"/>
            <family val="2"/>
          </rPr>
          <t xml:space="preserve">Suma los días de "Registro Vacaciones" con fecha de inicio dentro del periodo vigente, excluyendo los cancelados.</t>
        </r>
      </text>
    </comment>
    <comment ref="O4" authorId="0">
      <text>
        <r>
          <rPr>
            <sz val="10"/>
            <rFont val="Arial"/>
            <family val="2"/>
          </rPr>
          <t xml:space="preserve">Saldo disponible x remuneración mensual / 30. Referencia para provisión o liquidación.</t>
        </r>
      </text>
    </comment>
  </commentList>
</comments>
</file>

<file path=xl/sharedStrings.xml><?xml version="1.0" encoding="utf-8"?>
<sst xmlns="http://schemas.openxmlformats.org/spreadsheetml/2006/main" count="90" uniqueCount="88">
  <si>
    <t xml:space="preserve">REGISTRO DE VACACIONES DEL PERSONAL</t>
  </si>
  <si>
    <t xml:space="preserve">CÓMO USAR ESTE LIBRO</t>
  </si>
  <si>
    <t xml:space="preserve">1. Parámetros: capture el nombre de la empresa y confirme el método de cómputo de días (Calendario por defecto), los periodos acumulables y, si usa cómputo Hábiles, el descanso semanal y los feriados.</t>
  </si>
  <si>
    <t xml:space="preserve">2. Empleados: dé de alta a cada trabajador (ID, nombre, fecha de ingreso, remuneración mensual). Si ya tiene días pendientes de años anteriores, anótelos en "Saldo de periodos anteriores".</t>
  </si>
  <si>
    <t xml:space="preserve">3. Registro Vacaciones: por cada solicitud, elija el ID, capture fecha de inicio y fin, estatus y quién autoriza. Los días a descontar y la fecha de regreso se calculan solos.</t>
  </si>
  <si>
    <t xml:space="preserve">4. Empleados se actualiza automáticamente: días que corresponden, días tomados, saldo, máximo acumulable, valor del saldo pendiente y semáforo de situación.</t>
  </si>
  <si>
    <t xml:space="preserve">Convención de colores: celdas amarillas con texto azul = captura; texto negro = fórmula (no modificar).</t>
  </si>
  <si>
    <t xml:space="preserve">Las filas 5-7 de Empleados y 5-6 de Registro son ejemplos ilustrativos: bórrelos antes de usar el libro.</t>
  </si>
  <si>
    <t xml:space="preserve">SUPUESTOS LEGALES (ECUADOR, CÓDIGO DEL TRABAJO)</t>
  </si>
  <si>
    <t xml:space="preserve">• Art. 69: 15 días de vacaciones anuales, incluidos los días no laborables. Quien supere 5 años de servicio con el mismo empleador suma 1 día por cada año excedente, hasta 15 días adicionales (máximo 30).</t>
  </si>
  <si>
    <t xml:space="preserve">• Art. 71: las vacaciones pueden acumularse hasta por tres periodos consecutivos (columna "Máximo acumulable"); no se compensan en dinero, salvo el saldo pendiente al terminar la relación laboral.</t>
  </si>
  <si>
    <t xml:space="preserve">• Las vacaciones se pagan con la remuneración habitual; en Ecuador no existe prima vacacional legal, por eso este libro no la calcula.</t>
  </si>
  <si>
    <t xml:space="preserve">• Fraccionamiento: normalmente se permite dividir el periodo con acuerdo de las partes; verifique con el Ministerio del Trabajo el mínimo de días continuos exigido.</t>
  </si>
  <si>
    <t xml:space="preserve">• Cómputo: por defecto se cuentan días corridos (incluye fines de semana y feriados). Puede cambiar a Hábiles en Parámetros si su política interna lo establece.</t>
  </si>
  <si>
    <t xml:space="preserve">• El empleador debe llevar el registro de vacaciones y programarlas; conserve la solicitud firmada por el empleado.</t>
  </si>
  <si>
    <t xml:space="preserve">• Si su contrato colectivo o política otorga más días, edite la tabla de Parámetros; las demás hojas se recalculan.</t>
  </si>
  <si>
    <t xml:space="preserve">Este libro es una herramienta administrativa de apoyo y no sustituye la asesoría de un abogado laboralista ni la normativa vigente del Ministerio del Trabajo.</t>
  </si>
  <si>
    <t xml:space="preserve">PARÁMETROS GENERALES</t>
  </si>
  <si>
    <t xml:space="preserve">Empresa / razón social</t>
  </si>
  <si>
    <t xml:space="preserve">Mi Empresa S.A.</t>
  </si>
  <si>
    <t xml:space="preserve">Fecha de corte (por defecto hoy)</t>
  </si>
  <si>
    <t xml:space="preserve">Puede sustituirla por una fecha fija para cerrar un periodo.</t>
  </si>
  <si>
    <t xml:space="preserve">Días base del mes para valorar un día (USD)</t>
  </si>
  <si>
    <t xml:space="preserve">Supuesto: el valor diario es remuneración mensual / 30 (práctica común en Ecuador); ajústelo si su política difiere.</t>
  </si>
  <si>
    <t xml:space="preserve">Cómputo de días de vacaciones (Calendario / Hábiles)</t>
  </si>
  <si>
    <t xml:space="preserve">Calendario</t>
  </si>
  <si>
    <t xml:space="preserve">Calendario (por defecto): cuenta todos los días corridos, incluidos fines de semana y feriados (art. 69 C.T.). Hábiles: excluye descanso y feriados.</t>
  </si>
  <si>
    <t xml:space="preserve">Periodos máximos acumulables (art. 71)</t>
  </si>
  <si>
    <t xml:space="preserve">Supuesto: art. 71 C.T. permite acumular hasta tres periodos consecutivos.</t>
  </si>
  <si>
    <t xml:space="preserve">Descanso semanal, solo si cómputo = Hábiles (código)</t>
  </si>
  <si>
    <t xml:space="preserve">1 = descansa sáb. y dom. · 11 = descansa solo domingo. Otros códigos: ayuda de NETWORKDAYS.INTL.</t>
  </si>
  <si>
    <t xml:space="preserve">TABLA DE DÍAS DE VACACIONES POR ANTIGÜEDAD</t>
  </si>
  <si>
    <t xml:space="preserve">Años cumplidos (desde)</t>
  </si>
  <si>
    <t xml:space="preserve">Días de vacaciones</t>
  </si>
  <si>
    <t xml:space="preserve">Feriados (solo se usan si el cómputo es Hábiles)</t>
  </si>
  <si>
    <t xml:space="preserve">Fuente: Art. 69 Código del Trabajo (Ecuador): 15 días al año; desde el 6.º año de servicio, +1 día por cada año excedente, máximo 15 adicionales (30 en total, desde los 20 años). Valide contra su contrato o políticas internas.</t>
  </si>
  <si>
    <t xml:space="preserve">Fechas referenciales de feriados nacionales (sin traslados); confirme con los decretos del Ministerio del Trabajo.</t>
  </si>
  <si>
    <t xml:space="preserve">CONTROL DE VACACIONES POR EMPLEADO</t>
  </si>
  <si>
    <t xml:space="preserve">ID</t>
  </si>
  <si>
    <t xml:space="preserve">Nombre completo</t>
  </si>
  <si>
    <t xml:space="preserve">Puesto</t>
  </si>
  <si>
    <t xml:space="preserve">Área / Depto.</t>
  </si>
  <si>
    <t xml:space="preserve">Fecha de ingreso</t>
  </si>
  <si>
    <t xml:space="preserve">Remuneración mensual (USD)</t>
  </si>
  <si>
    <t xml:space="preserve">Años cumplidos</t>
  </si>
  <si>
    <t xml:space="preserve">Inicio periodo vigente (último aniversario)</t>
  </si>
  <si>
    <t xml:space="preserve">Próximo aniversario</t>
  </si>
  <si>
    <t xml:space="preserve">Días que corresponden en el periodo</t>
  </si>
  <si>
    <t xml:space="preserve">Saldo de periodos anteriores</t>
  </si>
  <si>
    <t xml:space="preserve">Días tomados en el periodo</t>
  </si>
  <si>
    <t xml:space="preserve">Saldo disponible</t>
  </si>
  <si>
    <t xml:space="preserve">Máximo acumulable (días, art. 71)</t>
  </si>
  <si>
    <t xml:space="preserve">Valor del saldo pendiente (USD)</t>
  </si>
  <si>
    <t xml:space="preserve">Situación</t>
  </si>
  <si>
    <t xml:space="preserve">E-001</t>
  </si>
  <si>
    <t xml:space="preserve">María Fernanda López Ruiz</t>
  </si>
  <si>
    <t xml:space="preserve">Gerente de Ventas</t>
  </si>
  <si>
    <t xml:space="preserve">Comercial</t>
  </si>
  <si>
    <t xml:space="preserve">E-002</t>
  </si>
  <si>
    <t xml:space="preserve">Carlos Alberto Pérez Soto</t>
  </si>
  <si>
    <t xml:space="preserve">Analista Contable</t>
  </si>
  <si>
    <t xml:space="preserve">Finanzas</t>
  </si>
  <si>
    <t xml:space="preserve">E-003</t>
  </si>
  <si>
    <t xml:space="preserve">Ana Sofía Ramírez Cruz</t>
  </si>
  <si>
    <t xml:space="preserve">Auxiliar Administrativo</t>
  </si>
  <si>
    <t xml:space="preserve">Administración</t>
  </si>
  <si>
    <t xml:space="preserve">Fila 5-7: ejemplos ilustrativos; sobrescríbalos con sus empleados. Celdas amarillas con texto azul = captura; el resto son fórmulas (no se editan).</t>
  </si>
  <si>
    <t xml:space="preserve">REGISTRO DE SOLICITUDES Y DISFRUTE DE VACACIONES</t>
  </si>
  <si>
    <t xml:space="preserve">Una fila por cada periodo de vacaciones. Seleccione el ID del empleado; el nombre y los días se calculan solos.</t>
  </si>
  <si>
    <t xml:space="preserve">ID empleado</t>
  </si>
  <si>
    <t xml:space="preserve">Nombre</t>
  </si>
  <si>
    <t xml:space="preserve">Fecha de inicio</t>
  </si>
  <si>
    <t xml:space="preserve">Fecha de fin</t>
  </si>
  <si>
    <t xml:space="preserve">Días a descontar</t>
  </si>
  <si>
    <t xml:space="preserve">Fecha de regreso</t>
  </si>
  <si>
    <t xml:space="preserve">Estatus</t>
  </si>
  <si>
    <t xml:space="preserve">Autorizado por</t>
  </si>
  <si>
    <t xml:space="preserve">Pagada en nómina (Sí/No)</t>
  </si>
  <si>
    <t xml:space="preserve">Observaciones</t>
  </si>
  <si>
    <t xml:space="preserve">Firma del empleado (sí/no)</t>
  </si>
  <si>
    <t xml:space="preserve">Disfrutada</t>
  </si>
  <si>
    <t xml:space="preserve">Gerencia General</t>
  </si>
  <si>
    <t xml:space="preserve">Sí</t>
  </si>
  <si>
    <t xml:space="preserve">Periodo completo (15 días corridos)</t>
  </si>
  <si>
    <t xml:space="preserve">Autorizada</t>
  </si>
  <si>
    <t xml:space="preserve">Gerencia de Finanzas</t>
  </si>
  <si>
    <t xml:space="preserve">No</t>
  </si>
  <si>
    <t xml:space="preserve">Primer bloque; fracciona el periodo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</si>
</sst>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\$#,##0.00;&quot;($&quot;#,##0.00\);\-"/>
    <numFmt numFmtId="168" formatCode="0.0;\(0.0\);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i val="true"/>
      <sz val="10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strike val="1"/>
        <color rgb="FF999999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7" customFormat="false" ht="23.8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23.85" hidden="false" customHeight="false" outlineLevel="0" collapsed="false">
      <c r="A12" s="3" t="s">
        <v>9</v>
      </c>
    </row>
    <row r="13" customFormat="false" ht="23.8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23.8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4"/>
    <col collapsed="false" customWidth="true" hidden="false" outlineLevel="0" max="4" min="4" style="0" width="44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4" t="s">
        <v>17</v>
      </c>
    </row>
    <row r="3" customFormat="false" ht="15" hidden="false" customHeight="false" outlineLevel="0" collapsed="false">
      <c r="A3" s="5" t="s">
        <v>18</v>
      </c>
      <c r="B3" s="6" t="s">
        <v>19</v>
      </c>
    </row>
    <row r="4" customFormat="false" ht="15" hidden="false" customHeight="false" outlineLevel="0" collapsed="false">
      <c r="A4" s="5" t="s">
        <v>20</v>
      </c>
      <c r="B4" s="7" t="n">
        <f aca="true">TODAY()</f>
        <v>46321</v>
      </c>
      <c r="E4" s="8" t="s">
        <v>21</v>
      </c>
    </row>
    <row r="5" customFormat="false" ht="15" hidden="false" customHeight="false" outlineLevel="0" collapsed="false">
      <c r="A5" s="5" t="s">
        <v>22</v>
      </c>
      <c r="B5" s="9" t="n">
        <v>30</v>
      </c>
      <c r="E5" s="8" t="s">
        <v>23</v>
      </c>
    </row>
    <row r="6" customFormat="false" ht="15" hidden="false" customHeight="false" outlineLevel="0" collapsed="false">
      <c r="A6" s="5" t="s">
        <v>24</v>
      </c>
      <c r="B6" s="6" t="s">
        <v>25</v>
      </c>
      <c r="E6" s="8" t="s">
        <v>26</v>
      </c>
    </row>
    <row r="7" customFormat="false" ht="15" hidden="false" customHeight="false" outlineLevel="0" collapsed="false">
      <c r="A7" s="5" t="s">
        <v>27</v>
      </c>
      <c r="B7" s="9" t="n">
        <v>3</v>
      </c>
      <c r="E7" s="8" t="s">
        <v>28</v>
      </c>
    </row>
    <row r="8" customFormat="false" ht="15" hidden="false" customHeight="false" outlineLevel="0" collapsed="false">
      <c r="A8" s="5" t="s">
        <v>29</v>
      </c>
      <c r="B8" s="9" t="n">
        <v>1</v>
      </c>
      <c r="E8" s="8" t="s">
        <v>30</v>
      </c>
    </row>
    <row r="10" customFormat="false" ht="15" hidden="false" customHeight="false" outlineLevel="0" collapsed="false">
      <c r="A10" s="10" t="s">
        <v>31</v>
      </c>
    </row>
    <row r="11" customFormat="false" ht="15" hidden="false" customHeight="false" outlineLevel="0" collapsed="false">
      <c r="A11" s="11" t="s">
        <v>32</v>
      </c>
      <c r="B11" s="11" t="s">
        <v>33</v>
      </c>
      <c r="D11" s="11" t="s">
        <v>34</v>
      </c>
    </row>
    <row r="12" customFormat="false" ht="15" hidden="false" customHeight="false" outlineLevel="0" collapsed="false">
      <c r="A12" s="12" t="n">
        <v>0</v>
      </c>
      <c r="B12" s="12" t="n">
        <v>0</v>
      </c>
      <c r="D12" s="13" t="n">
        <v>46023</v>
      </c>
    </row>
    <row r="13" customFormat="false" ht="15" hidden="false" customHeight="false" outlineLevel="0" collapsed="false">
      <c r="A13" s="12" t="n">
        <v>1</v>
      </c>
      <c r="B13" s="12" t="n">
        <v>15</v>
      </c>
      <c r="D13" s="13" t="n">
        <v>46069</v>
      </c>
    </row>
    <row r="14" customFormat="false" ht="15" hidden="false" customHeight="false" outlineLevel="0" collapsed="false">
      <c r="A14" s="12" t="n">
        <v>6</v>
      </c>
      <c r="B14" s="12" t="n">
        <v>16</v>
      </c>
      <c r="D14" s="13" t="n">
        <v>46070</v>
      </c>
    </row>
    <row r="15" customFormat="false" ht="15" hidden="false" customHeight="false" outlineLevel="0" collapsed="false">
      <c r="A15" s="12" t="n">
        <v>7</v>
      </c>
      <c r="B15" s="12" t="n">
        <v>17</v>
      </c>
      <c r="D15" s="13" t="n">
        <v>46115</v>
      </c>
    </row>
    <row r="16" customFormat="false" ht="15" hidden="false" customHeight="false" outlineLevel="0" collapsed="false">
      <c r="A16" s="12" t="n">
        <v>8</v>
      </c>
      <c r="B16" s="12" t="n">
        <v>18</v>
      </c>
      <c r="D16" s="13" t="n">
        <v>46143</v>
      </c>
    </row>
    <row r="17" customFormat="false" ht="15" hidden="false" customHeight="false" outlineLevel="0" collapsed="false">
      <c r="A17" s="12" t="n">
        <v>9</v>
      </c>
      <c r="B17" s="12" t="n">
        <v>19</v>
      </c>
      <c r="D17" s="13" t="n">
        <v>46166</v>
      </c>
    </row>
    <row r="18" customFormat="false" ht="15" hidden="false" customHeight="false" outlineLevel="0" collapsed="false">
      <c r="A18" s="12" t="n">
        <v>10</v>
      </c>
      <c r="B18" s="12" t="n">
        <v>20</v>
      </c>
      <c r="D18" s="13" t="n">
        <v>46244</v>
      </c>
    </row>
    <row r="19" customFormat="false" ht="15" hidden="false" customHeight="false" outlineLevel="0" collapsed="false">
      <c r="A19" s="12" t="n">
        <v>11</v>
      </c>
      <c r="B19" s="12" t="n">
        <v>21</v>
      </c>
      <c r="D19" s="13" t="n">
        <v>46304</v>
      </c>
    </row>
    <row r="20" customFormat="false" ht="15" hidden="false" customHeight="false" outlineLevel="0" collapsed="false">
      <c r="A20" s="12" t="n">
        <v>12</v>
      </c>
      <c r="B20" s="12" t="n">
        <v>22</v>
      </c>
      <c r="D20" s="13" t="n">
        <v>46328</v>
      </c>
    </row>
    <row r="21" customFormat="false" ht="15" hidden="false" customHeight="false" outlineLevel="0" collapsed="false">
      <c r="A21" s="12" t="n">
        <v>13</v>
      </c>
      <c r="B21" s="12" t="n">
        <v>23</v>
      </c>
      <c r="D21" s="13" t="n">
        <v>46329</v>
      </c>
    </row>
    <row r="22" customFormat="false" ht="15" hidden="false" customHeight="false" outlineLevel="0" collapsed="false">
      <c r="A22" s="12" t="n">
        <v>14</v>
      </c>
      <c r="B22" s="12" t="n">
        <v>24</v>
      </c>
      <c r="D22" s="13" t="n">
        <v>46381</v>
      </c>
    </row>
    <row r="23" customFormat="false" ht="15" hidden="false" customHeight="false" outlineLevel="0" collapsed="false">
      <c r="A23" s="12" t="n">
        <v>15</v>
      </c>
      <c r="B23" s="12" t="n">
        <v>25</v>
      </c>
      <c r="D23" s="13" t="n">
        <v>46388</v>
      </c>
    </row>
    <row r="24" customFormat="false" ht="15" hidden="false" customHeight="false" outlineLevel="0" collapsed="false">
      <c r="A24" s="12" t="n">
        <v>16</v>
      </c>
      <c r="B24" s="12" t="n">
        <v>26</v>
      </c>
      <c r="D24" s="13" t="n">
        <v>46426</v>
      </c>
    </row>
    <row r="25" customFormat="false" ht="15" hidden="false" customHeight="false" outlineLevel="0" collapsed="false">
      <c r="A25" s="12" t="n">
        <v>17</v>
      </c>
      <c r="B25" s="12" t="n">
        <v>27</v>
      </c>
      <c r="D25" s="13" t="n">
        <v>46427</v>
      </c>
    </row>
    <row r="26" customFormat="false" ht="15" hidden="false" customHeight="false" outlineLevel="0" collapsed="false">
      <c r="A26" s="12" t="n">
        <v>18</v>
      </c>
      <c r="B26" s="12" t="n">
        <v>28</v>
      </c>
      <c r="D26" s="13" t="n">
        <v>46472</v>
      </c>
    </row>
    <row r="27" customFormat="false" ht="15" hidden="false" customHeight="false" outlineLevel="0" collapsed="false">
      <c r="A27" s="12" t="n">
        <v>19</v>
      </c>
      <c r="B27" s="12" t="n">
        <v>29</v>
      </c>
      <c r="D27" s="13" t="n">
        <v>46508</v>
      </c>
    </row>
    <row r="28" customFormat="false" ht="15" hidden="false" customHeight="false" outlineLevel="0" collapsed="false">
      <c r="A28" s="12" t="n">
        <v>20</v>
      </c>
      <c r="B28" s="12" t="n">
        <v>30</v>
      </c>
      <c r="D28" s="13" t="n">
        <v>46531</v>
      </c>
    </row>
    <row r="29" customFormat="false" ht="15" hidden="false" customHeight="false" outlineLevel="0" collapsed="false">
      <c r="A29" s="8" t="s">
        <v>35</v>
      </c>
      <c r="D29" s="13" t="n">
        <v>46609</v>
      </c>
    </row>
    <row r="30" customFormat="false" ht="15" hidden="false" customHeight="false" outlineLevel="0" collapsed="false">
      <c r="D30" s="13" t="n">
        <v>46669</v>
      </c>
    </row>
    <row r="31" customFormat="false" ht="15" hidden="false" customHeight="false" outlineLevel="0" collapsed="false">
      <c r="D31" s="13" t="n">
        <v>46693</v>
      </c>
    </row>
    <row r="32" customFormat="false" ht="15" hidden="false" customHeight="false" outlineLevel="0" collapsed="false">
      <c r="D32" s="13" t="n">
        <v>46694</v>
      </c>
    </row>
    <row r="33" customFormat="false" ht="15" hidden="false" customHeight="false" outlineLevel="0" collapsed="false">
      <c r="D33" s="13" t="n">
        <v>46746</v>
      </c>
    </row>
    <row r="34" customFormat="false" ht="15" hidden="false" customHeight="false" outlineLevel="0" collapsed="false">
      <c r="D34" s="13"/>
    </row>
    <row r="35" customFormat="false" ht="15" hidden="false" customHeight="false" outlineLevel="0" collapsed="false">
      <c r="D35" s="13"/>
    </row>
    <row r="36" customFormat="false" ht="15" hidden="false" customHeight="false" outlineLevel="0" collapsed="false">
      <c r="D36" s="13"/>
    </row>
    <row r="37" customFormat="false" ht="15" hidden="false" customHeight="false" outlineLevel="0" collapsed="false">
      <c r="D37" s="13"/>
    </row>
    <row r="38" customFormat="false" ht="15" hidden="false" customHeight="false" outlineLevel="0" collapsed="false">
      <c r="D38" s="13"/>
    </row>
    <row r="39" customFormat="false" ht="15" hidden="false" customHeight="false" outlineLevel="0" collapsed="false">
      <c r="D39" s="13"/>
    </row>
    <row r="40" customFormat="false" ht="15" hidden="false" customHeight="false" outlineLevel="0" collapsed="false">
      <c r="D40" s="13"/>
    </row>
    <row r="41" customFormat="false" ht="15" hidden="false" customHeight="false" outlineLevel="0" collapsed="false">
      <c r="D41" s="13"/>
    </row>
    <row r="43" customFormat="false" ht="15" hidden="false" customHeight="false" outlineLevel="0" collapsed="false">
      <c r="D43" s="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11" min="9" style="0" width="14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6" min="15" style="0" width="16"/>
  </cols>
  <sheetData>
    <row r="1" customFormat="false" ht="17.35" hidden="false" customHeight="false" outlineLevel="0" collapsed="false">
      <c r="A1" s="4" t="s">
        <v>37</v>
      </c>
    </row>
    <row r="2" customFormat="false" ht="15" hidden="false" customHeight="false" outlineLevel="0" collapsed="false">
      <c r="A2" s="14" t="str">
        <f aca="false">"Empresa: "&amp;Parámetros!B3&amp;"   ·   Fecha de corte: "&amp;TEXT(Parámetros!B4,"dd/mm/yyyy")</f>
        <v>Empresa: Mi Empresa S.A.   ·   Fecha de corte: 26/10/2026</v>
      </c>
    </row>
    <row r="4" customFormat="false" ht="48" hidden="false" customHeight="true" outlineLevel="0" collapsed="false">
      <c r="A4" s="15" t="s">
        <v>38</v>
      </c>
      <c r="B4" s="15" t="s">
        <v>39</v>
      </c>
      <c r="C4" s="15" t="s">
        <v>40</v>
      </c>
      <c r="D4" s="15" t="s">
        <v>41</v>
      </c>
      <c r="E4" s="15" t="s">
        <v>42</v>
      </c>
      <c r="F4" s="15" t="s">
        <v>43</v>
      </c>
      <c r="G4" s="15" t="s">
        <v>44</v>
      </c>
      <c r="H4" s="15" t="s">
        <v>45</v>
      </c>
      <c r="I4" s="15" t="s">
        <v>46</v>
      </c>
      <c r="J4" s="15" t="s">
        <v>47</v>
      </c>
      <c r="K4" s="15" t="s">
        <v>48</v>
      </c>
      <c r="L4" s="15" t="s">
        <v>49</v>
      </c>
      <c r="M4" s="15" t="s">
        <v>50</v>
      </c>
      <c r="N4" s="15" t="s">
        <v>51</v>
      </c>
      <c r="O4" s="15" t="s">
        <v>52</v>
      </c>
      <c r="P4" s="15" t="s">
        <v>53</v>
      </c>
    </row>
    <row r="5" customFormat="false" ht="15" hidden="false" customHeight="false" outlineLevel="0" collapsed="false">
      <c r="A5" s="6" t="s">
        <v>54</v>
      </c>
      <c r="B5" s="6" t="s">
        <v>55</v>
      </c>
      <c r="C5" s="6" t="s">
        <v>56</v>
      </c>
      <c r="D5" s="6" t="s">
        <v>57</v>
      </c>
      <c r="E5" s="13" t="n">
        <v>43528</v>
      </c>
      <c r="F5" s="16" t="n">
        <v>1800</v>
      </c>
      <c r="G5" s="17" t="n">
        <f aca="false">IF(E5="","",DATEDIF(E5,Parámetros!$B$4,"y"))</f>
        <v>7</v>
      </c>
      <c r="H5" s="18" t="n">
        <f aca="false">IF(G5="","",EDATE(E5,12*G5))</f>
        <v>46085</v>
      </c>
      <c r="I5" s="18" t="n">
        <f aca="false">IF(G5="","",EDATE(E5,12*(G5+1)))</f>
        <v>46450</v>
      </c>
      <c r="J5" s="17" t="n">
        <f aca="false">IF(G5="","",LOOKUP(G5,Parámetros!$A$12:$A$28,Parámetros!$B$12:$B$28))</f>
        <v>17</v>
      </c>
      <c r="K5" s="19" t="n">
        <v>3</v>
      </c>
      <c r="L5" s="20" t="n">
        <f aca="false">IF(A5="","",SUMIFS('Registro Vacaciones'!$E$5:$E$504,'Registro Vacaciones'!$A$5:$A$504,A5,'Registro Vacaciones'!$C$5:$C$504,"&gt;="&amp;H5,'Registro Vacaciones'!$C$5:$C$504,"&lt;"&amp;I5,'Registro Vacaciones'!$G$5:$G$504,"&lt;&gt;Cancelada"))</f>
        <v>15</v>
      </c>
      <c r="M5" s="20" t="n">
        <f aca="false">IF(G5="","",N(K5)+J5-L5)</f>
        <v>5</v>
      </c>
      <c r="N5" s="17" t="n">
        <f aca="false">IF(G5="","",Parámetros!$B$7*J5)</f>
        <v>51</v>
      </c>
      <c r="O5" s="21" t="n">
        <f aca="false">IF(G5="","",IF(M5&gt;0,M5*N(F5)/Parámetros!$B$5,0))</f>
        <v>300</v>
      </c>
      <c r="P5" s="22" t="str">
        <f aca="false">IF(G5="","",IF(G5&lt;1,"Sin derecho aún",IF(M5&lt;0,"Excede saldo",IF(M5=0,"Sin saldo",IF(M5&gt;N5,"Excede acumulación","Con saldo")))))</f>
        <v>Con saldo</v>
      </c>
    </row>
    <row r="6" customFormat="false" ht="15" hidden="false" customHeight="false" outlineLevel="0" collapsed="false">
      <c r="A6" s="6" t="s">
        <v>58</v>
      </c>
      <c r="B6" s="6" t="s">
        <v>59</v>
      </c>
      <c r="C6" s="6" t="s">
        <v>60</v>
      </c>
      <c r="D6" s="6" t="s">
        <v>61</v>
      </c>
      <c r="E6" s="13" t="n">
        <v>44635</v>
      </c>
      <c r="F6" s="16" t="n">
        <v>900</v>
      </c>
      <c r="G6" s="17" t="n">
        <f aca="false">IF(E6="","",DATEDIF(E6,Parámetros!$B$4,"y"))</f>
        <v>4</v>
      </c>
      <c r="H6" s="18" t="n">
        <f aca="false">IF(G6="","",EDATE(E6,12*G6))</f>
        <v>46096</v>
      </c>
      <c r="I6" s="18" t="n">
        <f aca="false">IF(G6="","",EDATE(E6,12*(G6+1)))</f>
        <v>46461</v>
      </c>
      <c r="J6" s="17" t="n">
        <f aca="false">IF(G6="","",LOOKUP(G6,Parámetros!$A$12:$A$28,Parámetros!$B$12:$B$28))</f>
        <v>15</v>
      </c>
      <c r="K6" s="19" t="n">
        <v>0</v>
      </c>
      <c r="L6" s="20" t="n">
        <f aca="false">IF(A6="","",SUMIFS('Registro Vacaciones'!$E$5:$E$504,'Registro Vacaciones'!$A$5:$A$504,A6,'Registro Vacaciones'!$C$5:$C$504,"&gt;="&amp;H6,'Registro Vacaciones'!$C$5:$C$504,"&lt;"&amp;I6,'Registro Vacaciones'!$G$5:$G$504,"&lt;&gt;Cancelada"))</f>
        <v>7</v>
      </c>
      <c r="M6" s="20" t="n">
        <f aca="false">IF(G6="","",N(K6)+J6-L6)</f>
        <v>8</v>
      </c>
      <c r="N6" s="17" t="n">
        <f aca="false">IF(G6="","",Parámetros!$B$7*J6)</f>
        <v>45</v>
      </c>
      <c r="O6" s="21" t="n">
        <f aca="false">IF(G6="","",IF(M6&gt;0,M6*N(F6)/Parámetros!$B$5,0))</f>
        <v>240</v>
      </c>
      <c r="P6" s="22" t="str">
        <f aca="false">IF(G6="","",IF(G6&lt;1,"Sin derecho aún",IF(M6&lt;0,"Excede saldo",IF(M6=0,"Sin saldo",IF(M6&gt;N6,"Excede acumulación","Con saldo")))))</f>
        <v>Con saldo</v>
      </c>
    </row>
    <row r="7" customFormat="false" ht="15" hidden="false" customHeight="false" outlineLevel="0" collapsed="false">
      <c r="A7" s="6" t="s">
        <v>62</v>
      </c>
      <c r="B7" s="6" t="s">
        <v>63</v>
      </c>
      <c r="C7" s="6" t="s">
        <v>64</v>
      </c>
      <c r="D7" s="6" t="s">
        <v>65</v>
      </c>
      <c r="E7" s="13" t="n">
        <v>45870</v>
      </c>
      <c r="F7" s="16" t="n">
        <v>600</v>
      </c>
      <c r="G7" s="17" t="n">
        <f aca="false">IF(E7="","",DATEDIF(E7,Parámetros!$B$4,"y"))</f>
        <v>1</v>
      </c>
      <c r="H7" s="18" t="n">
        <f aca="false">IF(G7="","",EDATE(E7,12*G7))</f>
        <v>46235</v>
      </c>
      <c r="I7" s="18" t="n">
        <f aca="false">IF(G7="","",EDATE(E7,12*(G7+1)))</f>
        <v>46600</v>
      </c>
      <c r="J7" s="17" t="n">
        <f aca="false">IF(G7="","",LOOKUP(G7,Parámetros!$A$12:$A$28,Parámetros!$B$12:$B$28))</f>
        <v>15</v>
      </c>
      <c r="K7" s="19" t="n">
        <v>0</v>
      </c>
      <c r="L7" s="20" t="n">
        <f aca="false">IF(A7="","",SUMIFS('Registro Vacaciones'!$E$5:$E$504,'Registro Vacaciones'!$A$5:$A$504,A7,'Registro Vacaciones'!$C$5:$C$504,"&gt;="&amp;H7,'Registro Vacaciones'!$C$5:$C$504,"&lt;"&amp;I7,'Registro Vacaciones'!$G$5:$G$504,"&lt;&gt;Cancelada"))</f>
        <v>0</v>
      </c>
      <c r="M7" s="20" t="n">
        <f aca="false">IF(G7="","",N(K7)+J7-L7)</f>
        <v>15</v>
      </c>
      <c r="N7" s="17" t="n">
        <f aca="false">IF(G7="","",Parámetros!$B$7*J7)</f>
        <v>45</v>
      </c>
      <c r="O7" s="21" t="n">
        <f aca="false">IF(G7="","",IF(M7&gt;0,M7*N(F7)/Parámetros!$B$5,0))</f>
        <v>300</v>
      </c>
      <c r="P7" s="22" t="str">
        <f aca="false">IF(G7="","",IF(G7&lt;1,"Sin derecho aún",IF(M7&lt;0,"Excede saldo",IF(M7=0,"Sin saldo",IF(M7&gt;N7,"Excede acumulación","Con saldo")))))</f>
        <v>Con saldo</v>
      </c>
    </row>
    <row r="8" customFormat="false" ht="15" hidden="false" customHeight="false" outlineLevel="0" collapsed="false">
      <c r="A8" s="6"/>
      <c r="B8" s="6"/>
      <c r="C8" s="6"/>
      <c r="D8" s="6"/>
      <c r="E8" s="13"/>
      <c r="F8" s="16"/>
      <c r="G8" s="17" t="str">
        <f aca="false">IF(E8="","",DATEDIF(E8,Parámetros!$B$4,"y"))</f>
        <v/>
      </c>
      <c r="H8" s="18" t="str">
        <f aca="false">IF(G8="","",EDATE(E8,12*G8))</f>
        <v/>
      </c>
      <c r="I8" s="18" t="str">
        <f aca="false">IF(G8="","",EDATE(E8,12*(G8+1)))</f>
        <v/>
      </c>
      <c r="J8" s="17" t="str">
        <f aca="false">IF(G8="","",LOOKUP(G8,Parámetros!$A$12:$A$28,Parámetros!$B$12:$B$28))</f>
        <v/>
      </c>
      <c r="K8" s="19"/>
      <c r="L8" s="20" t="str">
        <f aca="false">IF(A8="","",SUMIFS('Registro Vacaciones'!$E$5:$E$504,'Registro Vacaciones'!$A$5:$A$504,A8,'Registro Vacaciones'!$C$5:$C$504,"&gt;="&amp;H8,'Registro Vacaciones'!$C$5:$C$504,"&lt;"&amp;I8,'Registro Vacaciones'!$G$5:$G$504,"&lt;&gt;Cancelada"))</f>
        <v/>
      </c>
      <c r="M8" s="20" t="str">
        <f aca="false">IF(G8="","",N(K8)+J8-L8)</f>
        <v/>
      </c>
      <c r="N8" s="17" t="str">
        <f aca="false">IF(G8="","",Parámetros!$B$7*J8)</f>
        <v/>
      </c>
      <c r="O8" s="21" t="str">
        <f aca="false">IF(G8="","",IF(M8&gt;0,M8*N(F8)/Parámetros!$B$5,0))</f>
        <v/>
      </c>
      <c r="P8" s="22" t="str">
        <f aca="false">IF(G8="","",IF(G8&lt;1,"Sin derecho aún",IF(M8&lt;0,"Excede saldo",IF(M8=0,"Sin saldo",IF(M8&gt;N8,"Excede acumulación","Con saldo")))))</f>
        <v/>
      </c>
    </row>
    <row r="9" customFormat="false" ht="15" hidden="false" customHeight="false" outlineLevel="0" collapsed="false">
      <c r="A9" s="6"/>
      <c r="B9" s="6"/>
      <c r="C9" s="6"/>
      <c r="D9" s="6"/>
      <c r="E9" s="13"/>
      <c r="F9" s="16"/>
      <c r="G9" s="17" t="str">
        <f aca="false">IF(E9="","",DATEDIF(E9,Parámetros!$B$4,"y"))</f>
        <v/>
      </c>
      <c r="H9" s="18" t="str">
        <f aca="false">IF(G9="","",EDATE(E9,12*G9))</f>
        <v/>
      </c>
      <c r="I9" s="18" t="str">
        <f aca="false">IF(G9="","",EDATE(E9,12*(G9+1)))</f>
        <v/>
      </c>
      <c r="J9" s="17" t="str">
        <f aca="false">IF(G9="","",LOOKUP(G9,Parámetros!$A$12:$A$28,Parámetros!$B$12:$B$28))</f>
        <v/>
      </c>
      <c r="K9" s="19"/>
      <c r="L9" s="20" t="str">
        <f aca="false">IF(A9="","",SUMIFS('Registro Vacaciones'!$E$5:$E$504,'Registro Vacaciones'!$A$5:$A$504,A9,'Registro Vacaciones'!$C$5:$C$504,"&gt;="&amp;H9,'Registro Vacaciones'!$C$5:$C$504,"&lt;"&amp;I9,'Registro Vacaciones'!$G$5:$G$504,"&lt;&gt;Cancelada"))</f>
        <v/>
      </c>
      <c r="M9" s="20" t="str">
        <f aca="false">IF(G9="","",N(K9)+J9-L9)</f>
        <v/>
      </c>
      <c r="N9" s="17" t="str">
        <f aca="false">IF(G9="","",Parámetros!$B$7*J9)</f>
        <v/>
      </c>
      <c r="O9" s="21" t="str">
        <f aca="false">IF(G9="","",IF(M9&gt;0,M9*N(F9)/Parámetros!$B$5,0))</f>
        <v/>
      </c>
      <c r="P9" s="22" t="str">
        <f aca="false">IF(G9="","",IF(G9&lt;1,"Sin derecho aún",IF(M9&lt;0,"Excede saldo",IF(M9=0,"Sin saldo",IF(M9&gt;N9,"Excede acumulación","Con saldo")))))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13"/>
      <c r="F10" s="16"/>
      <c r="G10" s="17" t="str">
        <f aca="false">IF(E10="","",DATEDIF(E10,Parámetros!$B$4,"y"))</f>
        <v/>
      </c>
      <c r="H10" s="18" t="str">
        <f aca="false">IF(G10="","",EDATE(E10,12*G10))</f>
        <v/>
      </c>
      <c r="I10" s="18" t="str">
        <f aca="false">IF(G10="","",EDATE(E10,12*(G10+1)))</f>
        <v/>
      </c>
      <c r="J10" s="17" t="str">
        <f aca="false">IF(G10="","",LOOKUP(G10,Parámetros!$A$12:$A$28,Parámetros!$B$12:$B$28))</f>
        <v/>
      </c>
      <c r="K10" s="19"/>
      <c r="L10" s="20" t="str">
        <f aca="false">IF(A10="","",SUMIFS('Registro Vacaciones'!$E$5:$E$504,'Registro Vacaciones'!$A$5:$A$504,A10,'Registro Vacaciones'!$C$5:$C$504,"&gt;="&amp;H10,'Registro Vacaciones'!$C$5:$C$504,"&lt;"&amp;I10,'Registro Vacaciones'!$G$5:$G$504,"&lt;&gt;Cancelada"))</f>
        <v/>
      </c>
      <c r="M10" s="20" t="str">
        <f aca="false">IF(G10="","",N(K10)+J10-L10)</f>
        <v/>
      </c>
      <c r="N10" s="17" t="str">
        <f aca="false">IF(G10="","",Parámetros!$B$7*J10)</f>
        <v/>
      </c>
      <c r="O10" s="21" t="str">
        <f aca="false">IF(G10="","",IF(M10&gt;0,M10*N(F10)/Parámetros!$B$5,0))</f>
        <v/>
      </c>
      <c r="P10" s="22" t="str">
        <f aca="false">IF(G10="","",IF(G10&lt;1,"Sin derecho aún",IF(M10&lt;0,"Excede saldo",IF(M10=0,"Sin saldo",IF(M10&gt;N10,"Excede acumulación","Con saldo")))))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13"/>
      <c r="F11" s="16"/>
      <c r="G11" s="17" t="str">
        <f aca="false">IF(E11="","",DATEDIF(E11,Parámetros!$B$4,"y"))</f>
        <v/>
      </c>
      <c r="H11" s="18" t="str">
        <f aca="false">IF(G11="","",EDATE(E11,12*G11))</f>
        <v/>
      </c>
      <c r="I11" s="18" t="str">
        <f aca="false">IF(G11="","",EDATE(E11,12*(G11+1)))</f>
        <v/>
      </c>
      <c r="J11" s="17" t="str">
        <f aca="false">IF(G11="","",LOOKUP(G11,Parámetros!$A$12:$A$28,Parámetros!$B$12:$B$28))</f>
        <v/>
      </c>
      <c r="K11" s="19"/>
      <c r="L11" s="20" t="str">
        <f aca="false">IF(A11="","",SUMIFS('Registro Vacaciones'!$E$5:$E$504,'Registro Vacaciones'!$A$5:$A$504,A11,'Registro Vacaciones'!$C$5:$C$504,"&gt;="&amp;H11,'Registro Vacaciones'!$C$5:$C$504,"&lt;"&amp;I11,'Registro Vacaciones'!$G$5:$G$504,"&lt;&gt;Cancelada"))</f>
        <v/>
      </c>
      <c r="M11" s="20" t="str">
        <f aca="false">IF(G11="","",N(K11)+J11-L11)</f>
        <v/>
      </c>
      <c r="N11" s="17" t="str">
        <f aca="false">IF(G11="","",Parámetros!$B$7*J11)</f>
        <v/>
      </c>
      <c r="O11" s="21" t="str">
        <f aca="false">IF(G11="","",IF(M11&gt;0,M11*N(F11)/Parámetros!$B$5,0))</f>
        <v/>
      </c>
      <c r="P11" s="22" t="str">
        <f aca="false">IF(G11="","",IF(G11&lt;1,"Sin derecho aún",IF(M11&lt;0,"Excede saldo",IF(M11=0,"Sin saldo",IF(M11&gt;N11,"Excede acumulación","Con saldo")))))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13"/>
      <c r="F12" s="16"/>
      <c r="G12" s="17" t="str">
        <f aca="false">IF(E12="","",DATEDIF(E12,Parámetros!$B$4,"y"))</f>
        <v/>
      </c>
      <c r="H12" s="18" t="str">
        <f aca="false">IF(G12="","",EDATE(E12,12*G12))</f>
        <v/>
      </c>
      <c r="I12" s="18" t="str">
        <f aca="false">IF(G12="","",EDATE(E12,12*(G12+1)))</f>
        <v/>
      </c>
      <c r="J12" s="17" t="str">
        <f aca="false">IF(G12="","",LOOKUP(G12,Parámetros!$A$12:$A$28,Parámetros!$B$12:$B$28))</f>
        <v/>
      </c>
      <c r="K12" s="19"/>
      <c r="L12" s="20" t="str">
        <f aca="false">IF(A12="","",SUMIFS('Registro Vacaciones'!$E$5:$E$504,'Registro Vacaciones'!$A$5:$A$504,A12,'Registro Vacaciones'!$C$5:$C$504,"&gt;="&amp;H12,'Registro Vacaciones'!$C$5:$C$504,"&lt;"&amp;I12,'Registro Vacaciones'!$G$5:$G$504,"&lt;&gt;Cancelada"))</f>
        <v/>
      </c>
      <c r="M12" s="20" t="str">
        <f aca="false">IF(G12="","",N(K12)+J12-L12)</f>
        <v/>
      </c>
      <c r="N12" s="17" t="str">
        <f aca="false">IF(G12="","",Parámetros!$B$7*J12)</f>
        <v/>
      </c>
      <c r="O12" s="21" t="str">
        <f aca="false">IF(G12="","",IF(M12&gt;0,M12*N(F12)/Parámetros!$B$5,0))</f>
        <v/>
      </c>
      <c r="P12" s="22" t="str">
        <f aca="false">IF(G12="","",IF(G12&lt;1,"Sin derecho aún",IF(M12&lt;0,"Excede saldo",IF(M12=0,"Sin saldo",IF(M12&gt;N12,"Excede acumulación","Con saldo")))))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13"/>
      <c r="F13" s="16"/>
      <c r="G13" s="17" t="str">
        <f aca="false">IF(E13="","",DATEDIF(E13,Parámetros!$B$4,"y"))</f>
        <v/>
      </c>
      <c r="H13" s="18" t="str">
        <f aca="false">IF(G13="","",EDATE(E13,12*G13))</f>
        <v/>
      </c>
      <c r="I13" s="18" t="str">
        <f aca="false">IF(G13="","",EDATE(E13,12*(G13+1)))</f>
        <v/>
      </c>
      <c r="J13" s="17" t="str">
        <f aca="false">IF(G13="","",LOOKUP(G13,Parámetros!$A$12:$A$28,Parámetros!$B$12:$B$28))</f>
        <v/>
      </c>
      <c r="K13" s="19"/>
      <c r="L13" s="20" t="str">
        <f aca="false">IF(A13="","",SUMIFS('Registro Vacaciones'!$E$5:$E$504,'Registro Vacaciones'!$A$5:$A$504,A13,'Registro Vacaciones'!$C$5:$C$504,"&gt;="&amp;H13,'Registro Vacaciones'!$C$5:$C$504,"&lt;"&amp;I13,'Registro Vacaciones'!$G$5:$G$504,"&lt;&gt;Cancelada"))</f>
        <v/>
      </c>
      <c r="M13" s="20" t="str">
        <f aca="false">IF(G13="","",N(K13)+J13-L13)</f>
        <v/>
      </c>
      <c r="N13" s="17" t="str">
        <f aca="false">IF(G13="","",Parámetros!$B$7*J13)</f>
        <v/>
      </c>
      <c r="O13" s="21" t="str">
        <f aca="false">IF(G13="","",IF(M13&gt;0,M13*N(F13)/Parámetros!$B$5,0))</f>
        <v/>
      </c>
      <c r="P13" s="22" t="str">
        <f aca="false">IF(G13="","",IF(G13&lt;1,"Sin derecho aún",IF(M13&lt;0,"Excede saldo",IF(M13=0,"Sin saldo",IF(M13&gt;N13,"Excede acumulación","Con saldo")))))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13"/>
      <c r="F14" s="16"/>
      <c r="G14" s="17" t="str">
        <f aca="false">IF(E14="","",DATEDIF(E14,Parámetros!$B$4,"y"))</f>
        <v/>
      </c>
      <c r="H14" s="18" t="str">
        <f aca="false">IF(G14="","",EDATE(E14,12*G14))</f>
        <v/>
      </c>
      <c r="I14" s="18" t="str">
        <f aca="false">IF(G14="","",EDATE(E14,12*(G14+1)))</f>
        <v/>
      </c>
      <c r="J14" s="17" t="str">
        <f aca="false">IF(G14="","",LOOKUP(G14,Parámetros!$A$12:$A$28,Parámetros!$B$12:$B$28))</f>
        <v/>
      </c>
      <c r="K14" s="19"/>
      <c r="L14" s="20" t="str">
        <f aca="false">IF(A14="","",SUMIFS('Registro Vacaciones'!$E$5:$E$504,'Registro Vacaciones'!$A$5:$A$504,A14,'Registro Vacaciones'!$C$5:$C$504,"&gt;="&amp;H14,'Registro Vacaciones'!$C$5:$C$504,"&lt;"&amp;I14,'Registro Vacaciones'!$G$5:$G$504,"&lt;&gt;Cancelada"))</f>
        <v/>
      </c>
      <c r="M14" s="20" t="str">
        <f aca="false">IF(G14="","",N(K14)+J14-L14)</f>
        <v/>
      </c>
      <c r="N14" s="17" t="str">
        <f aca="false">IF(G14="","",Parámetros!$B$7*J14)</f>
        <v/>
      </c>
      <c r="O14" s="21" t="str">
        <f aca="false">IF(G14="","",IF(M14&gt;0,M14*N(F14)/Parámetros!$B$5,0))</f>
        <v/>
      </c>
      <c r="P14" s="22" t="str">
        <f aca="false">IF(G14="","",IF(G14&lt;1,"Sin derecho aún",IF(M14&lt;0,"Excede saldo",IF(M14=0,"Sin saldo",IF(M14&gt;N14,"Excede acumulación","Con saldo")))))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13"/>
      <c r="F15" s="16"/>
      <c r="G15" s="17" t="str">
        <f aca="false">IF(E15="","",DATEDIF(E15,Parámetros!$B$4,"y"))</f>
        <v/>
      </c>
      <c r="H15" s="18" t="str">
        <f aca="false">IF(G15="","",EDATE(E15,12*G15))</f>
        <v/>
      </c>
      <c r="I15" s="18" t="str">
        <f aca="false">IF(G15="","",EDATE(E15,12*(G15+1)))</f>
        <v/>
      </c>
      <c r="J15" s="17" t="str">
        <f aca="false">IF(G15="","",LOOKUP(G15,Parámetros!$A$12:$A$28,Parámetros!$B$12:$B$28))</f>
        <v/>
      </c>
      <c r="K15" s="19"/>
      <c r="L15" s="20" t="str">
        <f aca="false">IF(A15="","",SUMIFS('Registro Vacaciones'!$E$5:$E$504,'Registro Vacaciones'!$A$5:$A$504,A15,'Registro Vacaciones'!$C$5:$C$504,"&gt;="&amp;H15,'Registro Vacaciones'!$C$5:$C$504,"&lt;"&amp;I15,'Registro Vacaciones'!$G$5:$G$504,"&lt;&gt;Cancelada"))</f>
        <v/>
      </c>
      <c r="M15" s="20" t="str">
        <f aca="false">IF(G15="","",N(K15)+J15-L15)</f>
        <v/>
      </c>
      <c r="N15" s="17" t="str">
        <f aca="false">IF(G15="","",Parámetros!$B$7*J15)</f>
        <v/>
      </c>
      <c r="O15" s="21" t="str">
        <f aca="false">IF(G15="","",IF(M15&gt;0,M15*N(F15)/Parámetros!$B$5,0))</f>
        <v/>
      </c>
      <c r="P15" s="22" t="str">
        <f aca="false">IF(G15="","",IF(G15&lt;1,"Sin derecho aún",IF(M15&lt;0,"Excede saldo",IF(M15=0,"Sin saldo",IF(M15&gt;N15,"Excede acumulación","Con saldo")))))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13"/>
      <c r="F16" s="16"/>
      <c r="G16" s="17" t="str">
        <f aca="false">IF(E16="","",DATEDIF(E16,Parámetros!$B$4,"y"))</f>
        <v/>
      </c>
      <c r="H16" s="18" t="str">
        <f aca="false">IF(G16="","",EDATE(E16,12*G16))</f>
        <v/>
      </c>
      <c r="I16" s="18" t="str">
        <f aca="false">IF(G16="","",EDATE(E16,12*(G16+1)))</f>
        <v/>
      </c>
      <c r="J16" s="17" t="str">
        <f aca="false">IF(G16="","",LOOKUP(G16,Parámetros!$A$12:$A$28,Parámetros!$B$12:$B$28))</f>
        <v/>
      </c>
      <c r="K16" s="19"/>
      <c r="L16" s="20" t="str">
        <f aca="false">IF(A16="","",SUMIFS('Registro Vacaciones'!$E$5:$E$504,'Registro Vacaciones'!$A$5:$A$504,A16,'Registro Vacaciones'!$C$5:$C$504,"&gt;="&amp;H16,'Registro Vacaciones'!$C$5:$C$504,"&lt;"&amp;I16,'Registro Vacaciones'!$G$5:$G$504,"&lt;&gt;Cancelada"))</f>
        <v/>
      </c>
      <c r="M16" s="20" t="str">
        <f aca="false">IF(G16="","",N(K16)+J16-L16)</f>
        <v/>
      </c>
      <c r="N16" s="17" t="str">
        <f aca="false">IF(G16="","",Parámetros!$B$7*J16)</f>
        <v/>
      </c>
      <c r="O16" s="21" t="str">
        <f aca="false">IF(G16="","",IF(M16&gt;0,M16*N(F16)/Parámetros!$B$5,0))</f>
        <v/>
      </c>
      <c r="P16" s="22" t="str">
        <f aca="false">IF(G16="","",IF(G16&lt;1,"Sin derecho aún",IF(M16&lt;0,"Excede saldo",IF(M16=0,"Sin saldo",IF(M16&gt;N16,"Excede acumulación","Con saldo")))))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13"/>
      <c r="F17" s="16"/>
      <c r="G17" s="17" t="str">
        <f aca="false">IF(E17="","",DATEDIF(E17,Parámetros!$B$4,"y"))</f>
        <v/>
      </c>
      <c r="H17" s="18" t="str">
        <f aca="false">IF(G17="","",EDATE(E17,12*G17))</f>
        <v/>
      </c>
      <c r="I17" s="18" t="str">
        <f aca="false">IF(G17="","",EDATE(E17,12*(G17+1)))</f>
        <v/>
      </c>
      <c r="J17" s="17" t="str">
        <f aca="false">IF(G17="","",LOOKUP(G17,Parámetros!$A$12:$A$28,Parámetros!$B$12:$B$28))</f>
        <v/>
      </c>
      <c r="K17" s="19"/>
      <c r="L17" s="20" t="str">
        <f aca="false">IF(A17="","",SUMIFS('Registro Vacaciones'!$E$5:$E$504,'Registro Vacaciones'!$A$5:$A$504,A17,'Registro Vacaciones'!$C$5:$C$504,"&gt;="&amp;H17,'Registro Vacaciones'!$C$5:$C$504,"&lt;"&amp;I17,'Registro Vacaciones'!$G$5:$G$504,"&lt;&gt;Cancelada"))</f>
        <v/>
      </c>
      <c r="M17" s="20" t="str">
        <f aca="false">IF(G17="","",N(K17)+J17-L17)</f>
        <v/>
      </c>
      <c r="N17" s="17" t="str">
        <f aca="false">IF(G17="","",Parámetros!$B$7*J17)</f>
        <v/>
      </c>
      <c r="O17" s="21" t="str">
        <f aca="false">IF(G17="","",IF(M17&gt;0,M17*N(F17)/Parámetros!$B$5,0))</f>
        <v/>
      </c>
      <c r="P17" s="22" t="str">
        <f aca="false">IF(G17="","",IF(G17&lt;1,"Sin derecho aún",IF(M17&lt;0,"Excede saldo",IF(M17=0,"Sin saldo",IF(M17&gt;N17,"Excede acumulación","Con saldo")))))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13"/>
      <c r="F18" s="16"/>
      <c r="G18" s="17" t="str">
        <f aca="false">IF(E18="","",DATEDIF(E18,Parámetros!$B$4,"y"))</f>
        <v/>
      </c>
      <c r="H18" s="18" t="str">
        <f aca="false">IF(G18="","",EDATE(E18,12*G18))</f>
        <v/>
      </c>
      <c r="I18" s="18" t="str">
        <f aca="false">IF(G18="","",EDATE(E18,12*(G18+1)))</f>
        <v/>
      </c>
      <c r="J18" s="17" t="str">
        <f aca="false">IF(G18="","",LOOKUP(G18,Parámetros!$A$12:$A$28,Parámetros!$B$12:$B$28))</f>
        <v/>
      </c>
      <c r="K18" s="19"/>
      <c r="L18" s="20" t="str">
        <f aca="false">IF(A18="","",SUMIFS('Registro Vacaciones'!$E$5:$E$504,'Registro Vacaciones'!$A$5:$A$504,A18,'Registro Vacaciones'!$C$5:$C$504,"&gt;="&amp;H18,'Registro Vacaciones'!$C$5:$C$504,"&lt;"&amp;I18,'Registro Vacaciones'!$G$5:$G$504,"&lt;&gt;Cancelada"))</f>
        <v/>
      </c>
      <c r="M18" s="20" t="str">
        <f aca="false">IF(G18="","",N(K18)+J18-L18)</f>
        <v/>
      </c>
      <c r="N18" s="17" t="str">
        <f aca="false">IF(G18="","",Parámetros!$B$7*J18)</f>
        <v/>
      </c>
      <c r="O18" s="21" t="str">
        <f aca="false">IF(G18="","",IF(M18&gt;0,M18*N(F18)/Parámetros!$B$5,0))</f>
        <v/>
      </c>
      <c r="P18" s="22" t="str">
        <f aca="false">IF(G18="","",IF(G18&lt;1,"Sin derecho aún",IF(M18&lt;0,"Excede saldo",IF(M18=0,"Sin saldo",IF(M18&gt;N18,"Excede acumulación","Con saldo")))))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13"/>
      <c r="F19" s="16"/>
      <c r="G19" s="17" t="str">
        <f aca="false">IF(E19="","",DATEDIF(E19,Parámetros!$B$4,"y"))</f>
        <v/>
      </c>
      <c r="H19" s="18" t="str">
        <f aca="false">IF(G19="","",EDATE(E19,12*G19))</f>
        <v/>
      </c>
      <c r="I19" s="18" t="str">
        <f aca="false">IF(G19="","",EDATE(E19,12*(G19+1)))</f>
        <v/>
      </c>
      <c r="J19" s="17" t="str">
        <f aca="false">IF(G19="","",LOOKUP(G19,Parámetros!$A$12:$A$28,Parámetros!$B$12:$B$28))</f>
        <v/>
      </c>
      <c r="K19" s="19"/>
      <c r="L19" s="20" t="str">
        <f aca="false">IF(A19="","",SUMIFS('Registro Vacaciones'!$E$5:$E$504,'Registro Vacaciones'!$A$5:$A$504,A19,'Registro Vacaciones'!$C$5:$C$504,"&gt;="&amp;H19,'Registro Vacaciones'!$C$5:$C$504,"&lt;"&amp;I19,'Registro Vacaciones'!$G$5:$G$504,"&lt;&gt;Cancelada"))</f>
        <v/>
      </c>
      <c r="M19" s="20" t="str">
        <f aca="false">IF(G19="","",N(K19)+J19-L19)</f>
        <v/>
      </c>
      <c r="N19" s="17" t="str">
        <f aca="false">IF(G19="","",Parámetros!$B$7*J19)</f>
        <v/>
      </c>
      <c r="O19" s="21" t="str">
        <f aca="false">IF(G19="","",IF(M19&gt;0,M19*N(F19)/Parámetros!$B$5,0))</f>
        <v/>
      </c>
      <c r="P19" s="22" t="str">
        <f aca="false">IF(G19="","",IF(G19&lt;1,"Sin derecho aún",IF(M19&lt;0,"Excede saldo",IF(M19=0,"Sin saldo",IF(M19&gt;N19,"Excede acumulación","Con saldo")))))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13"/>
      <c r="F20" s="16"/>
      <c r="G20" s="17" t="str">
        <f aca="false">IF(E20="","",DATEDIF(E20,Parámetros!$B$4,"y"))</f>
        <v/>
      </c>
      <c r="H20" s="18" t="str">
        <f aca="false">IF(G20="","",EDATE(E20,12*G20))</f>
        <v/>
      </c>
      <c r="I20" s="18" t="str">
        <f aca="false">IF(G20="","",EDATE(E20,12*(G20+1)))</f>
        <v/>
      </c>
      <c r="J20" s="17" t="str">
        <f aca="false">IF(G20="","",LOOKUP(G20,Parámetros!$A$12:$A$28,Parámetros!$B$12:$B$28))</f>
        <v/>
      </c>
      <c r="K20" s="19"/>
      <c r="L20" s="20" t="str">
        <f aca="false">IF(A20="","",SUMIFS('Registro Vacaciones'!$E$5:$E$504,'Registro Vacaciones'!$A$5:$A$504,A20,'Registro Vacaciones'!$C$5:$C$504,"&gt;="&amp;H20,'Registro Vacaciones'!$C$5:$C$504,"&lt;"&amp;I20,'Registro Vacaciones'!$G$5:$G$504,"&lt;&gt;Cancelada"))</f>
        <v/>
      </c>
      <c r="M20" s="20" t="str">
        <f aca="false">IF(G20="","",N(K20)+J20-L20)</f>
        <v/>
      </c>
      <c r="N20" s="17" t="str">
        <f aca="false">IF(G20="","",Parámetros!$B$7*J20)</f>
        <v/>
      </c>
      <c r="O20" s="21" t="str">
        <f aca="false">IF(G20="","",IF(M20&gt;0,M20*N(F20)/Parámetros!$B$5,0))</f>
        <v/>
      </c>
      <c r="P20" s="22" t="str">
        <f aca="false">IF(G20="","",IF(G20&lt;1,"Sin derecho aún",IF(M20&lt;0,"Excede saldo",IF(M20=0,"Sin saldo",IF(M20&gt;N20,"Excede acumulación","Con saldo")))))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13"/>
      <c r="F21" s="16"/>
      <c r="G21" s="17" t="str">
        <f aca="false">IF(E21="","",DATEDIF(E21,Parámetros!$B$4,"y"))</f>
        <v/>
      </c>
      <c r="H21" s="18" t="str">
        <f aca="false">IF(G21="","",EDATE(E21,12*G21))</f>
        <v/>
      </c>
      <c r="I21" s="18" t="str">
        <f aca="false">IF(G21="","",EDATE(E21,12*(G21+1)))</f>
        <v/>
      </c>
      <c r="J21" s="17" t="str">
        <f aca="false">IF(G21="","",LOOKUP(G21,Parámetros!$A$12:$A$28,Parámetros!$B$12:$B$28))</f>
        <v/>
      </c>
      <c r="K21" s="19"/>
      <c r="L21" s="20" t="str">
        <f aca="false">IF(A21="","",SUMIFS('Registro Vacaciones'!$E$5:$E$504,'Registro Vacaciones'!$A$5:$A$504,A21,'Registro Vacaciones'!$C$5:$C$504,"&gt;="&amp;H21,'Registro Vacaciones'!$C$5:$C$504,"&lt;"&amp;I21,'Registro Vacaciones'!$G$5:$G$504,"&lt;&gt;Cancelada"))</f>
        <v/>
      </c>
      <c r="M21" s="20" t="str">
        <f aca="false">IF(G21="","",N(K21)+J21-L21)</f>
        <v/>
      </c>
      <c r="N21" s="17" t="str">
        <f aca="false">IF(G21="","",Parámetros!$B$7*J21)</f>
        <v/>
      </c>
      <c r="O21" s="21" t="str">
        <f aca="false">IF(G21="","",IF(M21&gt;0,M21*N(F21)/Parámetros!$B$5,0))</f>
        <v/>
      </c>
      <c r="P21" s="22" t="str">
        <f aca="false">IF(G21="","",IF(G21&lt;1,"Sin derecho aún",IF(M21&lt;0,"Excede saldo",IF(M21=0,"Sin saldo",IF(M21&gt;N21,"Excede acumulación","Con saldo")))))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13"/>
      <c r="F22" s="16"/>
      <c r="G22" s="17" t="str">
        <f aca="false">IF(E22="","",DATEDIF(E22,Parámetros!$B$4,"y"))</f>
        <v/>
      </c>
      <c r="H22" s="18" t="str">
        <f aca="false">IF(G22="","",EDATE(E22,12*G22))</f>
        <v/>
      </c>
      <c r="I22" s="18" t="str">
        <f aca="false">IF(G22="","",EDATE(E22,12*(G22+1)))</f>
        <v/>
      </c>
      <c r="J22" s="17" t="str">
        <f aca="false">IF(G22="","",LOOKUP(G22,Parámetros!$A$12:$A$28,Parámetros!$B$12:$B$28))</f>
        <v/>
      </c>
      <c r="K22" s="19"/>
      <c r="L22" s="20" t="str">
        <f aca="false">IF(A22="","",SUMIFS('Registro Vacaciones'!$E$5:$E$504,'Registro Vacaciones'!$A$5:$A$504,A22,'Registro Vacaciones'!$C$5:$C$504,"&gt;="&amp;H22,'Registro Vacaciones'!$C$5:$C$504,"&lt;"&amp;I22,'Registro Vacaciones'!$G$5:$G$504,"&lt;&gt;Cancelada"))</f>
        <v/>
      </c>
      <c r="M22" s="20" t="str">
        <f aca="false">IF(G22="","",N(K22)+J22-L22)</f>
        <v/>
      </c>
      <c r="N22" s="17" t="str">
        <f aca="false">IF(G22="","",Parámetros!$B$7*J22)</f>
        <v/>
      </c>
      <c r="O22" s="21" t="str">
        <f aca="false">IF(G22="","",IF(M22&gt;0,M22*N(F22)/Parámetros!$B$5,0))</f>
        <v/>
      </c>
      <c r="P22" s="22" t="str">
        <f aca="false">IF(G22="","",IF(G22&lt;1,"Sin derecho aún",IF(M22&lt;0,"Excede saldo",IF(M22=0,"Sin saldo",IF(M22&gt;N22,"Excede acumulación","Con saldo")))))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13"/>
      <c r="F23" s="16"/>
      <c r="G23" s="17" t="str">
        <f aca="false">IF(E23="","",DATEDIF(E23,Parámetros!$B$4,"y"))</f>
        <v/>
      </c>
      <c r="H23" s="18" t="str">
        <f aca="false">IF(G23="","",EDATE(E23,12*G23))</f>
        <v/>
      </c>
      <c r="I23" s="18" t="str">
        <f aca="false">IF(G23="","",EDATE(E23,12*(G23+1)))</f>
        <v/>
      </c>
      <c r="J23" s="17" t="str">
        <f aca="false">IF(G23="","",LOOKUP(G23,Parámetros!$A$12:$A$28,Parámetros!$B$12:$B$28))</f>
        <v/>
      </c>
      <c r="K23" s="19"/>
      <c r="L23" s="20" t="str">
        <f aca="false">IF(A23="","",SUMIFS('Registro Vacaciones'!$E$5:$E$504,'Registro Vacaciones'!$A$5:$A$504,A23,'Registro Vacaciones'!$C$5:$C$504,"&gt;="&amp;H23,'Registro Vacaciones'!$C$5:$C$504,"&lt;"&amp;I23,'Registro Vacaciones'!$G$5:$G$504,"&lt;&gt;Cancelada"))</f>
        <v/>
      </c>
      <c r="M23" s="20" t="str">
        <f aca="false">IF(G23="","",N(K23)+J23-L23)</f>
        <v/>
      </c>
      <c r="N23" s="17" t="str">
        <f aca="false">IF(G23="","",Parámetros!$B$7*J23)</f>
        <v/>
      </c>
      <c r="O23" s="21" t="str">
        <f aca="false">IF(G23="","",IF(M23&gt;0,M23*N(F23)/Parámetros!$B$5,0))</f>
        <v/>
      </c>
      <c r="P23" s="22" t="str">
        <f aca="false">IF(G23="","",IF(G23&lt;1,"Sin derecho aún",IF(M23&lt;0,"Excede saldo",IF(M23=0,"Sin saldo",IF(M23&gt;N23,"Excede acumulación","Con saldo")))))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13"/>
      <c r="F24" s="16"/>
      <c r="G24" s="17" t="str">
        <f aca="false">IF(E24="","",DATEDIF(E24,Parámetros!$B$4,"y"))</f>
        <v/>
      </c>
      <c r="H24" s="18" t="str">
        <f aca="false">IF(G24="","",EDATE(E24,12*G24))</f>
        <v/>
      </c>
      <c r="I24" s="18" t="str">
        <f aca="false">IF(G24="","",EDATE(E24,12*(G24+1)))</f>
        <v/>
      </c>
      <c r="J24" s="17" t="str">
        <f aca="false">IF(G24="","",LOOKUP(G24,Parámetros!$A$12:$A$28,Parámetros!$B$12:$B$28))</f>
        <v/>
      </c>
      <c r="K24" s="19"/>
      <c r="L24" s="20" t="str">
        <f aca="false">IF(A24="","",SUMIFS('Registro Vacaciones'!$E$5:$E$504,'Registro Vacaciones'!$A$5:$A$504,A24,'Registro Vacaciones'!$C$5:$C$504,"&gt;="&amp;H24,'Registro Vacaciones'!$C$5:$C$504,"&lt;"&amp;I24,'Registro Vacaciones'!$G$5:$G$504,"&lt;&gt;Cancelada"))</f>
        <v/>
      </c>
      <c r="M24" s="20" t="str">
        <f aca="false">IF(G24="","",N(K24)+J24-L24)</f>
        <v/>
      </c>
      <c r="N24" s="17" t="str">
        <f aca="false">IF(G24="","",Parámetros!$B$7*J24)</f>
        <v/>
      </c>
      <c r="O24" s="21" t="str">
        <f aca="false">IF(G24="","",IF(M24&gt;0,M24*N(F24)/Parámetros!$B$5,0))</f>
        <v/>
      </c>
      <c r="P24" s="22" t="str">
        <f aca="false">IF(G24="","",IF(G24&lt;1,"Sin derecho aún",IF(M24&lt;0,"Excede saldo",IF(M24=0,"Sin saldo",IF(M24&gt;N24,"Excede acumulación","Con saldo")))))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13"/>
      <c r="F25" s="16"/>
      <c r="G25" s="17" t="str">
        <f aca="false">IF(E25="","",DATEDIF(E25,Parámetros!$B$4,"y"))</f>
        <v/>
      </c>
      <c r="H25" s="18" t="str">
        <f aca="false">IF(G25="","",EDATE(E25,12*G25))</f>
        <v/>
      </c>
      <c r="I25" s="18" t="str">
        <f aca="false">IF(G25="","",EDATE(E25,12*(G25+1)))</f>
        <v/>
      </c>
      <c r="J25" s="17" t="str">
        <f aca="false">IF(G25="","",LOOKUP(G25,Parámetros!$A$12:$A$28,Parámetros!$B$12:$B$28))</f>
        <v/>
      </c>
      <c r="K25" s="19"/>
      <c r="L25" s="20" t="str">
        <f aca="false">IF(A25="","",SUMIFS('Registro Vacaciones'!$E$5:$E$504,'Registro Vacaciones'!$A$5:$A$504,A25,'Registro Vacaciones'!$C$5:$C$504,"&gt;="&amp;H25,'Registro Vacaciones'!$C$5:$C$504,"&lt;"&amp;I25,'Registro Vacaciones'!$G$5:$G$504,"&lt;&gt;Cancelada"))</f>
        <v/>
      </c>
      <c r="M25" s="20" t="str">
        <f aca="false">IF(G25="","",N(K25)+J25-L25)</f>
        <v/>
      </c>
      <c r="N25" s="17" t="str">
        <f aca="false">IF(G25="","",Parámetros!$B$7*J25)</f>
        <v/>
      </c>
      <c r="O25" s="21" t="str">
        <f aca="false">IF(G25="","",IF(M25&gt;0,M25*N(F25)/Parámetros!$B$5,0))</f>
        <v/>
      </c>
      <c r="P25" s="22" t="str">
        <f aca="false">IF(G25="","",IF(G25&lt;1,"Sin derecho aún",IF(M25&lt;0,"Excede saldo",IF(M25=0,"Sin saldo",IF(M25&gt;N25,"Excede acumulación","Con saldo")))))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13"/>
      <c r="F26" s="16"/>
      <c r="G26" s="17" t="str">
        <f aca="false">IF(E26="","",DATEDIF(E26,Parámetros!$B$4,"y"))</f>
        <v/>
      </c>
      <c r="H26" s="18" t="str">
        <f aca="false">IF(G26="","",EDATE(E26,12*G26))</f>
        <v/>
      </c>
      <c r="I26" s="18" t="str">
        <f aca="false">IF(G26="","",EDATE(E26,12*(G26+1)))</f>
        <v/>
      </c>
      <c r="J26" s="17" t="str">
        <f aca="false">IF(G26="","",LOOKUP(G26,Parámetros!$A$12:$A$28,Parámetros!$B$12:$B$28))</f>
        <v/>
      </c>
      <c r="K26" s="19"/>
      <c r="L26" s="20" t="str">
        <f aca="false">IF(A26="","",SUMIFS('Registro Vacaciones'!$E$5:$E$504,'Registro Vacaciones'!$A$5:$A$504,A26,'Registro Vacaciones'!$C$5:$C$504,"&gt;="&amp;H26,'Registro Vacaciones'!$C$5:$C$504,"&lt;"&amp;I26,'Registro Vacaciones'!$G$5:$G$504,"&lt;&gt;Cancelada"))</f>
        <v/>
      </c>
      <c r="M26" s="20" t="str">
        <f aca="false">IF(G26="","",N(K26)+J26-L26)</f>
        <v/>
      </c>
      <c r="N26" s="17" t="str">
        <f aca="false">IF(G26="","",Parámetros!$B$7*J26)</f>
        <v/>
      </c>
      <c r="O26" s="21" t="str">
        <f aca="false">IF(G26="","",IF(M26&gt;0,M26*N(F26)/Parámetros!$B$5,0))</f>
        <v/>
      </c>
      <c r="P26" s="22" t="str">
        <f aca="false">IF(G26="","",IF(G26&lt;1,"Sin derecho aún",IF(M26&lt;0,"Excede saldo",IF(M26=0,"Sin saldo",IF(M26&gt;N26,"Excede acumulación","Con saldo")))))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13"/>
      <c r="F27" s="16"/>
      <c r="G27" s="17" t="str">
        <f aca="false">IF(E27="","",DATEDIF(E27,Parámetros!$B$4,"y"))</f>
        <v/>
      </c>
      <c r="H27" s="18" t="str">
        <f aca="false">IF(G27="","",EDATE(E27,12*G27))</f>
        <v/>
      </c>
      <c r="I27" s="18" t="str">
        <f aca="false">IF(G27="","",EDATE(E27,12*(G27+1)))</f>
        <v/>
      </c>
      <c r="J27" s="17" t="str">
        <f aca="false">IF(G27="","",LOOKUP(G27,Parámetros!$A$12:$A$28,Parámetros!$B$12:$B$28))</f>
        <v/>
      </c>
      <c r="K27" s="19"/>
      <c r="L27" s="20" t="str">
        <f aca="false">IF(A27="","",SUMIFS('Registro Vacaciones'!$E$5:$E$504,'Registro Vacaciones'!$A$5:$A$504,A27,'Registro Vacaciones'!$C$5:$C$504,"&gt;="&amp;H27,'Registro Vacaciones'!$C$5:$C$504,"&lt;"&amp;I27,'Registro Vacaciones'!$G$5:$G$504,"&lt;&gt;Cancelada"))</f>
        <v/>
      </c>
      <c r="M27" s="20" t="str">
        <f aca="false">IF(G27="","",N(K27)+J27-L27)</f>
        <v/>
      </c>
      <c r="N27" s="17" t="str">
        <f aca="false">IF(G27="","",Parámetros!$B$7*J27)</f>
        <v/>
      </c>
      <c r="O27" s="21" t="str">
        <f aca="false">IF(G27="","",IF(M27&gt;0,M27*N(F27)/Parámetros!$B$5,0))</f>
        <v/>
      </c>
      <c r="P27" s="22" t="str">
        <f aca="false">IF(G27="","",IF(G27&lt;1,"Sin derecho aún",IF(M27&lt;0,"Excede saldo",IF(M27=0,"Sin saldo",IF(M27&gt;N27,"Excede acumulación","Con saldo")))))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13"/>
      <c r="F28" s="16"/>
      <c r="G28" s="17" t="str">
        <f aca="false">IF(E28="","",DATEDIF(E28,Parámetros!$B$4,"y"))</f>
        <v/>
      </c>
      <c r="H28" s="18" t="str">
        <f aca="false">IF(G28="","",EDATE(E28,12*G28))</f>
        <v/>
      </c>
      <c r="I28" s="18" t="str">
        <f aca="false">IF(G28="","",EDATE(E28,12*(G28+1)))</f>
        <v/>
      </c>
      <c r="J28" s="17" t="str">
        <f aca="false">IF(G28="","",LOOKUP(G28,Parámetros!$A$12:$A$28,Parámetros!$B$12:$B$28))</f>
        <v/>
      </c>
      <c r="K28" s="19"/>
      <c r="L28" s="20" t="str">
        <f aca="false">IF(A28="","",SUMIFS('Registro Vacaciones'!$E$5:$E$504,'Registro Vacaciones'!$A$5:$A$504,A28,'Registro Vacaciones'!$C$5:$C$504,"&gt;="&amp;H28,'Registro Vacaciones'!$C$5:$C$504,"&lt;"&amp;I28,'Registro Vacaciones'!$G$5:$G$504,"&lt;&gt;Cancelada"))</f>
        <v/>
      </c>
      <c r="M28" s="20" t="str">
        <f aca="false">IF(G28="","",N(K28)+J28-L28)</f>
        <v/>
      </c>
      <c r="N28" s="17" t="str">
        <f aca="false">IF(G28="","",Parámetros!$B$7*J28)</f>
        <v/>
      </c>
      <c r="O28" s="21" t="str">
        <f aca="false">IF(G28="","",IF(M28&gt;0,M28*N(F28)/Parámetros!$B$5,0))</f>
        <v/>
      </c>
      <c r="P28" s="22" t="str">
        <f aca="false">IF(G28="","",IF(G28&lt;1,"Sin derecho aún",IF(M28&lt;0,"Excede saldo",IF(M28=0,"Sin saldo",IF(M28&gt;N28,"Excede acumulación","Con saldo")))))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13"/>
      <c r="F29" s="16"/>
      <c r="G29" s="17" t="str">
        <f aca="false">IF(E29="","",DATEDIF(E29,Parámetros!$B$4,"y"))</f>
        <v/>
      </c>
      <c r="H29" s="18" t="str">
        <f aca="false">IF(G29="","",EDATE(E29,12*G29))</f>
        <v/>
      </c>
      <c r="I29" s="18" t="str">
        <f aca="false">IF(G29="","",EDATE(E29,12*(G29+1)))</f>
        <v/>
      </c>
      <c r="J29" s="17" t="str">
        <f aca="false">IF(G29="","",LOOKUP(G29,Parámetros!$A$12:$A$28,Parámetros!$B$12:$B$28))</f>
        <v/>
      </c>
      <c r="K29" s="19"/>
      <c r="L29" s="20" t="str">
        <f aca="false">IF(A29="","",SUMIFS('Registro Vacaciones'!$E$5:$E$504,'Registro Vacaciones'!$A$5:$A$504,A29,'Registro Vacaciones'!$C$5:$C$504,"&gt;="&amp;H29,'Registro Vacaciones'!$C$5:$C$504,"&lt;"&amp;I29,'Registro Vacaciones'!$G$5:$G$504,"&lt;&gt;Cancelada"))</f>
        <v/>
      </c>
      <c r="M29" s="20" t="str">
        <f aca="false">IF(G29="","",N(K29)+J29-L29)</f>
        <v/>
      </c>
      <c r="N29" s="17" t="str">
        <f aca="false">IF(G29="","",Parámetros!$B$7*J29)</f>
        <v/>
      </c>
      <c r="O29" s="21" t="str">
        <f aca="false">IF(G29="","",IF(M29&gt;0,M29*N(F29)/Parámetros!$B$5,0))</f>
        <v/>
      </c>
      <c r="P29" s="22" t="str">
        <f aca="false">IF(G29="","",IF(G29&lt;1,"Sin derecho aún",IF(M29&lt;0,"Excede saldo",IF(M29=0,"Sin saldo",IF(M29&gt;N29,"Excede acumulación","Con saldo")))))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13"/>
      <c r="F30" s="16"/>
      <c r="G30" s="17" t="str">
        <f aca="false">IF(E30="","",DATEDIF(E30,Parámetros!$B$4,"y"))</f>
        <v/>
      </c>
      <c r="H30" s="18" t="str">
        <f aca="false">IF(G30="","",EDATE(E30,12*G30))</f>
        <v/>
      </c>
      <c r="I30" s="18" t="str">
        <f aca="false">IF(G30="","",EDATE(E30,12*(G30+1)))</f>
        <v/>
      </c>
      <c r="J30" s="17" t="str">
        <f aca="false">IF(G30="","",LOOKUP(G30,Parámetros!$A$12:$A$28,Parámetros!$B$12:$B$28))</f>
        <v/>
      </c>
      <c r="K30" s="19"/>
      <c r="L30" s="20" t="str">
        <f aca="false">IF(A30="","",SUMIFS('Registro Vacaciones'!$E$5:$E$504,'Registro Vacaciones'!$A$5:$A$504,A30,'Registro Vacaciones'!$C$5:$C$504,"&gt;="&amp;H30,'Registro Vacaciones'!$C$5:$C$504,"&lt;"&amp;I30,'Registro Vacaciones'!$G$5:$G$504,"&lt;&gt;Cancelada"))</f>
        <v/>
      </c>
      <c r="M30" s="20" t="str">
        <f aca="false">IF(G30="","",N(K30)+J30-L30)</f>
        <v/>
      </c>
      <c r="N30" s="17" t="str">
        <f aca="false">IF(G30="","",Parámetros!$B$7*J30)</f>
        <v/>
      </c>
      <c r="O30" s="21" t="str">
        <f aca="false">IF(G30="","",IF(M30&gt;0,M30*N(F30)/Parámetros!$B$5,0))</f>
        <v/>
      </c>
      <c r="P30" s="22" t="str">
        <f aca="false">IF(G30="","",IF(G30&lt;1,"Sin derecho aún",IF(M30&lt;0,"Excede saldo",IF(M30=0,"Sin saldo",IF(M30&gt;N30,"Excede acumulación","Con saldo")))))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13"/>
      <c r="F31" s="16"/>
      <c r="G31" s="17" t="str">
        <f aca="false">IF(E31="","",DATEDIF(E31,Parámetros!$B$4,"y"))</f>
        <v/>
      </c>
      <c r="H31" s="18" t="str">
        <f aca="false">IF(G31="","",EDATE(E31,12*G31))</f>
        <v/>
      </c>
      <c r="I31" s="18" t="str">
        <f aca="false">IF(G31="","",EDATE(E31,12*(G31+1)))</f>
        <v/>
      </c>
      <c r="J31" s="17" t="str">
        <f aca="false">IF(G31="","",LOOKUP(G31,Parámetros!$A$12:$A$28,Parámetros!$B$12:$B$28))</f>
        <v/>
      </c>
      <c r="K31" s="19"/>
      <c r="L31" s="20" t="str">
        <f aca="false">IF(A31="","",SUMIFS('Registro Vacaciones'!$E$5:$E$504,'Registro Vacaciones'!$A$5:$A$504,A31,'Registro Vacaciones'!$C$5:$C$504,"&gt;="&amp;H31,'Registro Vacaciones'!$C$5:$C$504,"&lt;"&amp;I31,'Registro Vacaciones'!$G$5:$G$504,"&lt;&gt;Cancelada"))</f>
        <v/>
      </c>
      <c r="M31" s="20" t="str">
        <f aca="false">IF(G31="","",N(K31)+J31-L31)</f>
        <v/>
      </c>
      <c r="N31" s="17" t="str">
        <f aca="false">IF(G31="","",Parámetros!$B$7*J31)</f>
        <v/>
      </c>
      <c r="O31" s="21" t="str">
        <f aca="false">IF(G31="","",IF(M31&gt;0,M31*N(F31)/Parámetros!$B$5,0))</f>
        <v/>
      </c>
      <c r="P31" s="22" t="str">
        <f aca="false">IF(G31="","",IF(G31&lt;1,"Sin derecho aún",IF(M31&lt;0,"Excede saldo",IF(M31=0,"Sin saldo",IF(M31&gt;N31,"Excede acumulación","Con saldo")))))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13"/>
      <c r="F32" s="16"/>
      <c r="G32" s="17" t="str">
        <f aca="false">IF(E32="","",DATEDIF(E32,Parámetros!$B$4,"y"))</f>
        <v/>
      </c>
      <c r="H32" s="18" t="str">
        <f aca="false">IF(G32="","",EDATE(E32,12*G32))</f>
        <v/>
      </c>
      <c r="I32" s="18" t="str">
        <f aca="false">IF(G32="","",EDATE(E32,12*(G32+1)))</f>
        <v/>
      </c>
      <c r="J32" s="17" t="str">
        <f aca="false">IF(G32="","",LOOKUP(G32,Parámetros!$A$12:$A$28,Parámetros!$B$12:$B$28))</f>
        <v/>
      </c>
      <c r="K32" s="19"/>
      <c r="L32" s="20" t="str">
        <f aca="false">IF(A32="","",SUMIFS('Registro Vacaciones'!$E$5:$E$504,'Registro Vacaciones'!$A$5:$A$504,A32,'Registro Vacaciones'!$C$5:$C$504,"&gt;="&amp;H32,'Registro Vacaciones'!$C$5:$C$504,"&lt;"&amp;I32,'Registro Vacaciones'!$G$5:$G$504,"&lt;&gt;Cancelada"))</f>
        <v/>
      </c>
      <c r="M32" s="20" t="str">
        <f aca="false">IF(G32="","",N(K32)+J32-L32)</f>
        <v/>
      </c>
      <c r="N32" s="17" t="str">
        <f aca="false">IF(G32="","",Parámetros!$B$7*J32)</f>
        <v/>
      </c>
      <c r="O32" s="21" t="str">
        <f aca="false">IF(G32="","",IF(M32&gt;0,M32*N(F32)/Parámetros!$B$5,0))</f>
        <v/>
      </c>
      <c r="P32" s="22" t="str">
        <f aca="false">IF(G32="","",IF(G32&lt;1,"Sin derecho aún",IF(M32&lt;0,"Excede saldo",IF(M32=0,"Sin saldo",IF(M32&gt;N32,"Excede acumulación","Con saldo")))))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13"/>
      <c r="F33" s="16"/>
      <c r="G33" s="17" t="str">
        <f aca="false">IF(E33="","",DATEDIF(E33,Parámetros!$B$4,"y"))</f>
        <v/>
      </c>
      <c r="H33" s="18" t="str">
        <f aca="false">IF(G33="","",EDATE(E33,12*G33))</f>
        <v/>
      </c>
      <c r="I33" s="18" t="str">
        <f aca="false">IF(G33="","",EDATE(E33,12*(G33+1)))</f>
        <v/>
      </c>
      <c r="J33" s="17" t="str">
        <f aca="false">IF(G33="","",LOOKUP(G33,Parámetros!$A$12:$A$28,Parámetros!$B$12:$B$28))</f>
        <v/>
      </c>
      <c r="K33" s="19"/>
      <c r="L33" s="20" t="str">
        <f aca="false">IF(A33="","",SUMIFS('Registro Vacaciones'!$E$5:$E$504,'Registro Vacaciones'!$A$5:$A$504,A33,'Registro Vacaciones'!$C$5:$C$504,"&gt;="&amp;H33,'Registro Vacaciones'!$C$5:$C$504,"&lt;"&amp;I33,'Registro Vacaciones'!$G$5:$G$504,"&lt;&gt;Cancelada"))</f>
        <v/>
      </c>
      <c r="M33" s="20" t="str">
        <f aca="false">IF(G33="","",N(K33)+J33-L33)</f>
        <v/>
      </c>
      <c r="N33" s="17" t="str">
        <f aca="false">IF(G33="","",Parámetros!$B$7*J33)</f>
        <v/>
      </c>
      <c r="O33" s="21" t="str">
        <f aca="false">IF(G33="","",IF(M33&gt;0,M33*N(F33)/Parámetros!$B$5,0))</f>
        <v/>
      </c>
      <c r="P33" s="22" t="str">
        <f aca="false">IF(G33="","",IF(G33&lt;1,"Sin derecho aún",IF(M33&lt;0,"Excede saldo",IF(M33=0,"Sin saldo",IF(M33&gt;N33,"Excede acumulación","Con saldo")))))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13"/>
      <c r="F34" s="16"/>
      <c r="G34" s="17" t="str">
        <f aca="false">IF(E34="","",DATEDIF(E34,Parámetros!$B$4,"y"))</f>
        <v/>
      </c>
      <c r="H34" s="18" t="str">
        <f aca="false">IF(G34="","",EDATE(E34,12*G34))</f>
        <v/>
      </c>
      <c r="I34" s="18" t="str">
        <f aca="false">IF(G34="","",EDATE(E34,12*(G34+1)))</f>
        <v/>
      </c>
      <c r="J34" s="17" t="str">
        <f aca="false">IF(G34="","",LOOKUP(G34,Parámetros!$A$12:$A$28,Parámetros!$B$12:$B$28))</f>
        <v/>
      </c>
      <c r="K34" s="19"/>
      <c r="L34" s="20" t="str">
        <f aca="false">IF(A34="","",SUMIFS('Registro Vacaciones'!$E$5:$E$504,'Registro Vacaciones'!$A$5:$A$504,A34,'Registro Vacaciones'!$C$5:$C$504,"&gt;="&amp;H34,'Registro Vacaciones'!$C$5:$C$504,"&lt;"&amp;I34,'Registro Vacaciones'!$G$5:$G$504,"&lt;&gt;Cancelada"))</f>
        <v/>
      </c>
      <c r="M34" s="20" t="str">
        <f aca="false">IF(G34="","",N(K34)+J34-L34)</f>
        <v/>
      </c>
      <c r="N34" s="17" t="str">
        <f aca="false">IF(G34="","",Parámetros!$B$7*J34)</f>
        <v/>
      </c>
      <c r="O34" s="21" t="str">
        <f aca="false">IF(G34="","",IF(M34&gt;0,M34*N(F34)/Parámetros!$B$5,0))</f>
        <v/>
      </c>
      <c r="P34" s="22" t="str">
        <f aca="false">IF(G34="","",IF(G34&lt;1,"Sin derecho aún",IF(M34&lt;0,"Excede saldo",IF(M34=0,"Sin saldo",IF(M34&gt;N34,"Excede acumulación","Con saldo")))))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13"/>
      <c r="F35" s="16"/>
      <c r="G35" s="17" t="str">
        <f aca="false">IF(E35="","",DATEDIF(E35,Parámetros!$B$4,"y"))</f>
        <v/>
      </c>
      <c r="H35" s="18" t="str">
        <f aca="false">IF(G35="","",EDATE(E35,12*G35))</f>
        <v/>
      </c>
      <c r="I35" s="18" t="str">
        <f aca="false">IF(G35="","",EDATE(E35,12*(G35+1)))</f>
        <v/>
      </c>
      <c r="J35" s="17" t="str">
        <f aca="false">IF(G35="","",LOOKUP(G35,Parámetros!$A$12:$A$28,Parámetros!$B$12:$B$28))</f>
        <v/>
      </c>
      <c r="K35" s="19"/>
      <c r="L35" s="20" t="str">
        <f aca="false">IF(A35="","",SUMIFS('Registro Vacaciones'!$E$5:$E$504,'Registro Vacaciones'!$A$5:$A$504,A35,'Registro Vacaciones'!$C$5:$C$504,"&gt;="&amp;H35,'Registro Vacaciones'!$C$5:$C$504,"&lt;"&amp;I35,'Registro Vacaciones'!$G$5:$G$504,"&lt;&gt;Cancelada"))</f>
        <v/>
      </c>
      <c r="M35" s="20" t="str">
        <f aca="false">IF(G35="","",N(K35)+J35-L35)</f>
        <v/>
      </c>
      <c r="N35" s="17" t="str">
        <f aca="false">IF(G35="","",Parámetros!$B$7*J35)</f>
        <v/>
      </c>
      <c r="O35" s="21" t="str">
        <f aca="false">IF(G35="","",IF(M35&gt;0,M35*N(F35)/Parámetros!$B$5,0))</f>
        <v/>
      </c>
      <c r="P35" s="22" t="str">
        <f aca="false">IF(G35="","",IF(G35&lt;1,"Sin derecho aún",IF(M35&lt;0,"Excede saldo",IF(M35=0,"Sin saldo",IF(M35&gt;N35,"Excede acumulación","Con saldo")))))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13"/>
      <c r="F36" s="16"/>
      <c r="G36" s="17" t="str">
        <f aca="false">IF(E36="","",DATEDIF(E36,Parámetros!$B$4,"y"))</f>
        <v/>
      </c>
      <c r="H36" s="18" t="str">
        <f aca="false">IF(G36="","",EDATE(E36,12*G36))</f>
        <v/>
      </c>
      <c r="I36" s="18" t="str">
        <f aca="false">IF(G36="","",EDATE(E36,12*(G36+1)))</f>
        <v/>
      </c>
      <c r="J36" s="17" t="str">
        <f aca="false">IF(G36="","",LOOKUP(G36,Parámetros!$A$12:$A$28,Parámetros!$B$12:$B$28))</f>
        <v/>
      </c>
      <c r="K36" s="19"/>
      <c r="L36" s="20" t="str">
        <f aca="false">IF(A36="","",SUMIFS('Registro Vacaciones'!$E$5:$E$504,'Registro Vacaciones'!$A$5:$A$504,A36,'Registro Vacaciones'!$C$5:$C$504,"&gt;="&amp;H36,'Registro Vacaciones'!$C$5:$C$504,"&lt;"&amp;I36,'Registro Vacaciones'!$G$5:$G$504,"&lt;&gt;Cancelada"))</f>
        <v/>
      </c>
      <c r="M36" s="20" t="str">
        <f aca="false">IF(G36="","",N(K36)+J36-L36)</f>
        <v/>
      </c>
      <c r="N36" s="17" t="str">
        <f aca="false">IF(G36="","",Parámetros!$B$7*J36)</f>
        <v/>
      </c>
      <c r="O36" s="21" t="str">
        <f aca="false">IF(G36="","",IF(M36&gt;0,M36*N(F36)/Parámetros!$B$5,0))</f>
        <v/>
      </c>
      <c r="P36" s="22" t="str">
        <f aca="false">IF(G36="","",IF(G36&lt;1,"Sin derecho aún",IF(M36&lt;0,"Excede saldo",IF(M36=0,"Sin saldo",IF(M36&gt;N36,"Excede acumulación","Con saldo")))))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13"/>
      <c r="F37" s="16"/>
      <c r="G37" s="17" t="str">
        <f aca="false">IF(E37="","",DATEDIF(E37,Parámetros!$B$4,"y"))</f>
        <v/>
      </c>
      <c r="H37" s="18" t="str">
        <f aca="false">IF(G37="","",EDATE(E37,12*G37))</f>
        <v/>
      </c>
      <c r="I37" s="18" t="str">
        <f aca="false">IF(G37="","",EDATE(E37,12*(G37+1)))</f>
        <v/>
      </c>
      <c r="J37" s="17" t="str">
        <f aca="false">IF(G37="","",LOOKUP(G37,Parámetros!$A$12:$A$28,Parámetros!$B$12:$B$28))</f>
        <v/>
      </c>
      <c r="K37" s="19"/>
      <c r="L37" s="20" t="str">
        <f aca="false">IF(A37="","",SUMIFS('Registro Vacaciones'!$E$5:$E$504,'Registro Vacaciones'!$A$5:$A$504,A37,'Registro Vacaciones'!$C$5:$C$504,"&gt;="&amp;H37,'Registro Vacaciones'!$C$5:$C$504,"&lt;"&amp;I37,'Registro Vacaciones'!$G$5:$G$504,"&lt;&gt;Cancelada"))</f>
        <v/>
      </c>
      <c r="M37" s="20" t="str">
        <f aca="false">IF(G37="","",N(K37)+J37-L37)</f>
        <v/>
      </c>
      <c r="N37" s="17" t="str">
        <f aca="false">IF(G37="","",Parámetros!$B$7*J37)</f>
        <v/>
      </c>
      <c r="O37" s="21" t="str">
        <f aca="false">IF(G37="","",IF(M37&gt;0,M37*N(F37)/Parámetros!$B$5,0))</f>
        <v/>
      </c>
      <c r="P37" s="22" t="str">
        <f aca="false">IF(G37="","",IF(G37&lt;1,"Sin derecho aún",IF(M37&lt;0,"Excede saldo",IF(M37=0,"Sin saldo",IF(M37&gt;N37,"Excede acumulación","Con saldo")))))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13"/>
      <c r="F38" s="16"/>
      <c r="G38" s="17" t="str">
        <f aca="false">IF(E38="","",DATEDIF(E38,Parámetros!$B$4,"y"))</f>
        <v/>
      </c>
      <c r="H38" s="18" t="str">
        <f aca="false">IF(G38="","",EDATE(E38,12*G38))</f>
        <v/>
      </c>
      <c r="I38" s="18" t="str">
        <f aca="false">IF(G38="","",EDATE(E38,12*(G38+1)))</f>
        <v/>
      </c>
      <c r="J38" s="17" t="str">
        <f aca="false">IF(G38="","",LOOKUP(G38,Parámetros!$A$12:$A$28,Parámetros!$B$12:$B$28))</f>
        <v/>
      </c>
      <c r="K38" s="19"/>
      <c r="L38" s="20" t="str">
        <f aca="false">IF(A38="","",SUMIFS('Registro Vacaciones'!$E$5:$E$504,'Registro Vacaciones'!$A$5:$A$504,A38,'Registro Vacaciones'!$C$5:$C$504,"&gt;="&amp;H38,'Registro Vacaciones'!$C$5:$C$504,"&lt;"&amp;I38,'Registro Vacaciones'!$G$5:$G$504,"&lt;&gt;Cancelada"))</f>
        <v/>
      </c>
      <c r="M38" s="20" t="str">
        <f aca="false">IF(G38="","",N(K38)+J38-L38)</f>
        <v/>
      </c>
      <c r="N38" s="17" t="str">
        <f aca="false">IF(G38="","",Parámetros!$B$7*J38)</f>
        <v/>
      </c>
      <c r="O38" s="21" t="str">
        <f aca="false">IF(G38="","",IF(M38&gt;0,M38*N(F38)/Parámetros!$B$5,0))</f>
        <v/>
      </c>
      <c r="P38" s="22" t="str">
        <f aca="false">IF(G38="","",IF(G38&lt;1,"Sin derecho aún",IF(M38&lt;0,"Excede saldo",IF(M38=0,"Sin saldo",IF(M38&gt;N38,"Excede acumulación","Con saldo")))))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13"/>
      <c r="F39" s="16"/>
      <c r="G39" s="17" t="str">
        <f aca="false">IF(E39="","",DATEDIF(E39,Parámetros!$B$4,"y"))</f>
        <v/>
      </c>
      <c r="H39" s="18" t="str">
        <f aca="false">IF(G39="","",EDATE(E39,12*G39))</f>
        <v/>
      </c>
      <c r="I39" s="18" t="str">
        <f aca="false">IF(G39="","",EDATE(E39,12*(G39+1)))</f>
        <v/>
      </c>
      <c r="J39" s="17" t="str">
        <f aca="false">IF(G39="","",LOOKUP(G39,Parámetros!$A$12:$A$28,Parámetros!$B$12:$B$28))</f>
        <v/>
      </c>
      <c r="K39" s="19"/>
      <c r="L39" s="20" t="str">
        <f aca="false">IF(A39="","",SUMIFS('Registro Vacaciones'!$E$5:$E$504,'Registro Vacaciones'!$A$5:$A$504,A39,'Registro Vacaciones'!$C$5:$C$504,"&gt;="&amp;H39,'Registro Vacaciones'!$C$5:$C$504,"&lt;"&amp;I39,'Registro Vacaciones'!$G$5:$G$504,"&lt;&gt;Cancelada"))</f>
        <v/>
      </c>
      <c r="M39" s="20" t="str">
        <f aca="false">IF(G39="","",N(K39)+J39-L39)</f>
        <v/>
      </c>
      <c r="N39" s="17" t="str">
        <f aca="false">IF(G39="","",Parámetros!$B$7*J39)</f>
        <v/>
      </c>
      <c r="O39" s="21" t="str">
        <f aca="false">IF(G39="","",IF(M39&gt;0,M39*N(F39)/Parámetros!$B$5,0))</f>
        <v/>
      </c>
      <c r="P39" s="22" t="str">
        <f aca="false">IF(G39="","",IF(G39&lt;1,"Sin derecho aún",IF(M39&lt;0,"Excede saldo",IF(M39=0,"Sin saldo",IF(M39&gt;N39,"Excede acumulación","Con saldo")))))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13"/>
      <c r="F40" s="16"/>
      <c r="G40" s="17" t="str">
        <f aca="false">IF(E40="","",DATEDIF(E40,Parámetros!$B$4,"y"))</f>
        <v/>
      </c>
      <c r="H40" s="18" t="str">
        <f aca="false">IF(G40="","",EDATE(E40,12*G40))</f>
        <v/>
      </c>
      <c r="I40" s="18" t="str">
        <f aca="false">IF(G40="","",EDATE(E40,12*(G40+1)))</f>
        <v/>
      </c>
      <c r="J40" s="17" t="str">
        <f aca="false">IF(G40="","",LOOKUP(G40,Parámetros!$A$12:$A$28,Parámetros!$B$12:$B$28))</f>
        <v/>
      </c>
      <c r="K40" s="19"/>
      <c r="L40" s="20" t="str">
        <f aca="false">IF(A40="","",SUMIFS('Registro Vacaciones'!$E$5:$E$504,'Registro Vacaciones'!$A$5:$A$504,A40,'Registro Vacaciones'!$C$5:$C$504,"&gt;="&amp;H40,'Registro Vacaciones'!$C$5:$C$504,"&lt;"&amp;I40,'Registro Vacaciones'!$G$5:$G$504,"&lt;&gt;Cancelada"))</f>
        <v/>
      </c>
      <c r="M40" s="20" t="str">
        <f aca="false">IF(G40="","",N(K40)+J40-L40)</f>
        <v/>
      </c>
      <c r="N40" s="17" t="str">
        <f aca="false">IF(G40="","",Parámetros!$B$7*J40)</f>
        <v/>
      </c>
      <c r="O40" s="21" t="str">
        <f aca="false">IF(G40="","",IF(M40&gt;0,M40*N(F40)/Parámetros!$B$5,0))</f>
        <v/>
      </c>
      <c r="P40" s="22" t="str">
        <f aca="false">IF(G40="","",IF(G40&lt;1,"Sin derecho aún",IF(M40&lt;0,"Excede saldo",IF(M40=0,"Sin saldo",IF(M40&gt;N40,"Excede acumulación","Con saldo")))))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13"/>
      <c r="F41" s="16"/>
      <c r="G41" s="17" t="str">
        <f aca="false">IF(E41="","",DATEDIF(E41,Parámetros!$B$4,"y"))</f>
        <v/>
      </c>
      <c r="H41" s="18" t="str">
        <f aca="false">IF(G41="","",EDATE(E41,12*G41))</f>
        <v/>
      </c>
      <c r="I41" s="18" t="str">
        <f aca="false">IF(G41="","",EDATE(E41,12*(G41+1)))</f>
        <v/>
      </c>
      <c r="J41" s="17" t="str">
        <f aca="false">IF(G41="","",LOOKUP(G41,Parámetros!$A$12:$A$28,Parámetros!$B$12:$B$28))</f>
        <v/>
      </c>
      <c r="K41" s="19"/>
      <c r="L41" s="20" t="str">
        <f aca="false">IF(A41="","",SUMIFS('Registro Vacaciones'!$E$5:$E$504,'Registro Vacaciones'!$A$5:$A$504,A41,'Registro Vacaciones'!$C$5:$C$504,"&gt;="&amp;H41,'Registro Vacaciones'!$C$5:$C$504,"&lt;"&amp;I41,'Registro Vacaciones'!$G$5:$G$504,"&lt;&gt;Cancelada"))</f>
        <v/>
      </c>
      <c r="M41" s="20" t="str">
        <f aca="false">IF(G41="","",N(K41)+J41-L41)</f>
        <v/>
      </c>
      <c r="N41" s="17" t="str">
        <f aca="false">IF(G41="","",Parámetros!$B$7*J41)</f>
        <v/>
      </c>
      <c r="O41" s="21" t="str">
        <f aca="false">IF(G41="","",IF(M41&gt;0,M41*N(F41)/Parámetros!$B$5,0))</f>
        <v/>
      </c>
      <c r="P41" s="22" t="str">
        <f aca="false">IF(G41="","",IF(G41&lt;1,"Sin derecho aún",IF(M41&lt;0,"Excede saldo",IF(M41=0,"Sin saldo",IF(M41&gt;N41,"Excede acumulación","Con saldo")))))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13"/>
      <c r="F42" s="16"/>
      <c r="G42" s="17" t="str">
        <f aca="false">IF(E42="","",DATEDIF(E42,Parámetros!$B$4,"y"))</f>
        <v/>
      </c>
      <c r="H42" s="18" t="str">
        <f aca="false">IF(G42="","",EDATE(E42,12*G42))</f>
        <v/>
      </c>
      <c r="I42" s="18" t="str">
        <f aca="false">IF(G42="","",EDATE(E42,12*(G42+1)))</f>
        <v/>
      </c>
      <c r="J42" s="17" t="str">
        <f aca="false">IF(G42="","",LOOKUP(G42,Parámetros!$A$12:$A$28,Parámetros!$B$12:$B$28))</f>
        <v/>
      </c>
      <c r="K42" s="19"/>
      <c r="L42" s="20" t="str">
        <f aca="false">IF(A42="","",SUMIFS('Registro Vacaciones'!$E$5:$E$504,'Registro Vacaciones'!$A$5:$A$504,A42,'Registro Vacaciones'!$C$5:$C$504,"&gt;="&amp;H42,'Registro Vacaciones'!$C$5:$C$504,"&lt;"&amp;I42,'Registro Vacaciones'!$G$5:$G$504,"&lt;&gt;Cancelada"))</f>
        <v/>
      </c>
      <c r="M42" s="20" t="str">
        <f aca="false">IF(G42="","",N(K42)+J42-L42)</f>
        <v/>
      </c>
      <c r="N42" s="17" t="str">
        <f aca="false">IF(G42="","",Parámetros!$B$7*J42)</f>
        <v/>
      </c>
      <c r="O42" s="21" t="str">
        <f aca="false">IF(G42="","",IF(M42&gt;0,M42*N(F42)/Parámetros!$B$5,0))</f>
        <v/>
      </c>
      <c r="P42" s="22" t="str">
        <f aca="false">IF(G42="","",IF(G42&lt;1,"Sin derecho aún",IF(M42&lt;0,"Excede saldo",IF(M42=0,"Sin saldo",IF(M42&gt;N42,"Excede acumulación","Con saldo")))))</f>
        <v/>
      </c>
    </row>
    <row r="43" customFormat="false" ht="15" hidden="false" customHeight="false" outlineLevel="0" collapsed="false">
      <c r="A43" s="6"/>
      <c r="B43" s="6"/>
      <c r="C43" s="6"/>
      <c r="D43" s="6"/>
      <c r="E43" s="13"/>
      <c r="F43" s="16"/>
      <c r="G43" s="17" t="str">
        <f aca="false">IF(E43="","",DATEDIF(E43,Parámetros!$B$4,"y"))</f>
        <v/>
      </c>
      <c r="H43" s="18" t="str">
        <f aca="false">IF(G43="","",EDATE(E43,12*G43))</f>
        <v/>
      </c>
      <c r="I43" s="18" t="str">
        <f aca="false">IF(G43="","",EDATE(E43,12*(G43+1)))</f>
        <v/>
      </c>
      <c r="J43" s="17" t="str">
        <f aca="false">IF(G43="","",LOOKUP(G43,Parámetros!$A$12:$A$28,Parámetros!$B$12:$B$28))</f>
        <v/>
      </c>
      <c r="K43" s="19"/>
      <c r="L43" s="20" t="str">
        <f aca="false">IF(A43="","",SUMIFS('Registro Vacaciones'!$E$5:$E$504,'Registro Vacaciones'!$A$5:$A$504,A43,'Registro Vacaciones'!$C$5:$C$504,"&gt;="&amp;H43,'Registro Vacaciones'!$C$5:$C$504,"&lt;"&amp;I43,'Registro Vacaciones'!$G$5:$G$504,"&lt;&gt;Cancelada"))</f>
        <v/>
      </c>
      <c r="M43" s="20" t="str">
        <f aca="false">IF(G43="","",N(K43)+J43-L43)</f>
        <v/>
      </c>
      <c r="N43" s="17" t="str">
        <f aca="false">IF(G43="","",Parámetros!$B$7*J43)</f>
        <v/>
      </c>
      <c r="O43" s="21" t="str">
        <f aca="false">IF(G43="","",IF(M43&gt;0,M43*N(F43)/Parámetros!$B$5,0))</f>
        <v/>
      </c>
      <c r="P43" s="22" t="str">
        <f aca="false">IF(G43="","",IF(G43&lt;1,"Sin derecho aún",IF(M43&lt;0,"Excede saldo",IF(M43=0,"Sin saldo",IF(M43&gt;N43,"Excede acumulación","Con saldo")))))</f>
        <v/>
      </c>
    </row>
    <row r="44" customFormat="false" ht="15" hidden="false" customHeight="false" outlineLevel="0" collapsed="false">
      <c r="A44" s="6"/>
      <c r="B44" s="6"/>
      <c r="C44" s="6"/>
      <c r="D44" s="6"/>
      <c r="E44" s="13"/>
      <c r="F44" s="16"/>
      <c r="G44" s="17" t="str">
        <f aca="false">IF(E44="","",DATEDIF(E44,Parámetros!$B$4,"y"))</f>
        <v/>
      </c>
      <c r="H44" s="18" t="str">
        <f aca="false">IF(G44="","",EDATE(E44,12*G44))</f>
        <v/>
      </c>
      <c r="I44" s="18" t="str">
        <f aca="false">IF(G44="","",EDATE(E44,12*(G44+1)))</f>
        <v/>
      </c>
      <c r="J44" s="17" t="str">
        <f aca="false">IF(G44="","",LOOKUP(G44,Parámetros!$A$12:$A$28,Parámetros!$B$12:$B$28))</f>
        <v/>
      </c>
      <c r="K44" s="19"/>
      <c r="L44" s="20" t="str">
        <f aca="false">IF(A44="","",SUMIFS('Registro Vacaciones'!$E$5:$E$504,'Registro Vacaciones'!$A$5:$A$504,A44,'Registro Vacaciones'!$C$5:$C$504,"&gt;="&amp;H44,'Registro Vacaciones'!$C$5:$C$504,"&lt;"&amp;I44,'Registro Vacaciones'!$G$5:$G$504,"&lt;&gt;Cancelada"))</f>
        <v/>
      </c>
      <c r="M44" s="20" t="str">
        <f aca="false">IF(G44="","",N(K44)+J44-L44)</f>
        <v/>
      </c>
      <c r="N44" s="17" t="str">
        <f aca="false">IF(G44="","",Parámetros!$B$7*J44)</f>
        <v/>
      </c>
      <c r="O44" s="21" t="str">
        <f aca="false">IF(G44="","",IF(M44&gt;0,M44*N(F44)/Parámetros!$B$5,0))</f>
        <v/>
      </c>
      <c r="P44" s="22" t="str">
        <f aca="false">IF(G44="","",IF(G44&lt;1,"Sin derecho aún",IF(M44&lt;0,"Excede saldo",IF(M44=0,"Sin saldo",IF(M44&gt;N44,"Excede acumulación","Con saldo")))))</f>
        <v/>
      </c>
    </row>
    <row r="45" customFormat="false" ht="15" hidden="false" customHeight="false" outlineLevel="0" collapsed="false">
      <c r="A45" s="6"/>
      <c r="B45" s="6"/>
      <c r="C45" s="6"/>
      <c r="D45" s="6"/>
      <c r="E45" s="13"/>
      <c r="F45" s="16"/>
      <c r="G45" s="17" t="str">
        <f aca="false">IF(E45="","",DATEDIF(E45,Parámetros!$B$4,"y"))</f>
        <v/>
      </c>
      <c r="H45" s="18" t="str">
        <f aca="false">IF(G45="","",EDATE(E45,12*G45))</f>
        <v/>
      </c>
      <c r="I45" s="18" t="str">
        <f aca="false">IF(G45="","",EDATE(E45,12*(G45+1)))</f>
        <v/>
      </c>
      <c r="J45" s="17" t="str">
        <f aca="false">IF(G45="","",LOOKUP(G45,Parámetros!$A$12:$A$28,Parámetros!$B$12:$B$28))</f>
        <v/>
      </c>
      <c r="K45" s="19"/>
      <c r="L45" s="20" t="str">
        <f aca="false">IF(A45="","",SUMIFS('Registro Vacaciones'!$E$5:$E$504,'Registro Vacaciones'!$A$5:$A$504,A45,'Registro Vacaciones'!$C$5:$C$504,"&gt;="&amp;H45,'Registro Vacaciones'!$C$5:$C$504,"&lt;"&amp;I45,'Registro Vacaciones'!$G$5:$G$504,"&lt;&gt;Cancelada"))</f>
        <v/>
      </c>
      <c r="M45" s="20" t="str">
        <f aca="false">IF(G45="","",N(K45)+J45-L45)</f>
        <v/>
      </c>
      <c r="N45" s="17" t="str">
        <f aca="false">IF(G45="","",Parámetros!$B$7*J45)</f>
        <v/>
      </c>
      <c r="O45" s="21" t="str">
        <f aca="false">IF(G45="","",IF(M45&gt;0,M45*N(F45)/Parámetros!$B$5,0))</f>
        <v/>
      </c>
      <c r="P45" s="22" t="str">
        <f aca="false">IF(G45="","",IF(G45&lt;1,"Sin derecho aún",IF(M45&lt;0,"Excede saldo",IF(M45=0,"Sin saldo",IF(M45&gt;N45,"Excede acumulación","Con saldo")))))</f>
        <v/>
      </c>
    </row>
    <row r="46" customFormat="false" ht="15" hidden="false" customHeight="false" outlineLevel="0" collapsed="false">
      <c r="A46" s="6"/>
      <c r="B46" s="6"/>
      <c r="C46" s="6"/>
      <c r="D46" s="6"/>
      <c r="E46" s="13"/>
      <c r="F46" s="16"/>
      <c r="G46" s="17" t="str">
        <f aca="false">IF(E46="","",DATEDIF(E46,Parámetros!$B$4,"y"))</f>
        <v/>
      </c>
      <c r="H46" s="18" t="str">
        <f aca="false">IF(G46="","",EDATE(E46,12*G46))</f>
        <v/>
      </c>
      <c r="I46" s="18" t="str">
        <f aca="false">IF(G46="","",EDATE(E46,12*(G46+1)))</f>
        <v/>
      </c>
      <c r="J46" s="17" t="str">
        <f aca="false">IF(G46="","",LOOKUP(G46,Parámetros!$A$12:$A$28,Parámetros!$B$12:$B$28))</f>
        <v/>
      </c>
      <c r="K46" s="19"/>
      <c r="L46" s="20" t="str">
        <f aca="false">IF(A46="","",SUMIFS('Registro Vacaciones'!$E$5:$E$504,'Registro Vacaciones'!$A$5:$A$504,A46,'Registro Vacaciones'!$C$5:$C$504,"&gt;="&amp;H46,'Registro Vacaciones'!$C$5:$C$504,"&lt;"&amp;I46,'Registro Vacaciones'!$G$5:$G$504,"&lt;&gt;Cancelada"))</f>
        <v/>
      </c>
      <c r="M46" s="20" t="str">
        <f aca="false">IF(G46="","",N(K46)+J46-L46)</f>
        <v/>
      </c>
      <c r="N46" s="17" t="str">
        <f aca="false">IF(G46="","",Parámetros!$B$7*J46)</f>
        <v/>
      </c>
      <c r="O46" s="21" t="str">
        <f aca="false">IF(G46="","",IF(M46&gt;0,M46*N(F46)/Parámetros!$B$5,0))</f>
        <v/>
      </c>
      <c r="P46" s="22" t="str">
        <f aca="false">IF(G46="","",IF(G46&lt;1,"Sin derecho aún",IF(M46&lt;0,"Excede saldo",IF(M46=0,"Sin saldo",IF(M46&gt;N46,"Excede acumulación","Con saldo")))))</f>
        <v/>
      </c>
    </row>
    <row r="47" customFormat="false" ht="15" hidden="false" customHeight="false" outlineLevel="0" collapsed="false">
      <c r="A47" s="6"/>
      <c r="B47" s="6"/>
      <c r="C47" s="6"/>
      <c r="D47" s="6"/>
      <c r="E47" s="13"/>
      <c r="F47" s="16"/>
      <c r="G47" s="17" t="str">
        <f aca="false">IF(E47="","",DATEDIF(E47,Parámetros!$B$4,"y"))</f>
        <v/>
      </c>
      <c r="H47" s="18" t="str">
        <f aca="false">IF(G47="","",EDATE(E47,12*G47))</f>
        <v/>
      </c>
      <c r="I47" s="18" t="str">
        <f aca="false">IF(G47="","",EDATE(E47,12*(G47+1)))</f>
        <v/>
      </c>
      <c r="J47" s="17" t="str">
        <f aca="false">IF(G47="","",LOOKUP(G47,Parámetros!$A$12:$A$28,Parámetros!$B$12:$B$28))</f>
        <v/>
      </c>
      <c r="K47" s="19"/>
      <c r="L47" s="20" t="str">
        <f aca="false">IF(A47="","",SUMIFS('Registro Vacaciones'!$E$5:$E$504,'Registro Vacaciones'!$A$5:$A$504,A47,'Registro Vacaciones'!$C$5:$C$504,"&gt;="&amp;H47,'Registro Vacaciones'!$C$5:$C$504,"&lt;"&amp;I47,'Registro Vacaciones'!$G$5:$G$504,"&lt;&gt;Cancelada"))</f>
        <v/>
      </c>
      <c r="M47" s="20" t="str">
        <f aca="false">IF(G47="","",N(K47)+J47-L47)</f>
        <v/>
      </c>
      <c r="N47" s="17" t="str">
        <f aca="false">IF(G47="","",Parámetros!$B$7*J47)</f>
        <v/>
      </c>
      <c r="O47" s="21" t="str">
        <f aca="false">IF(G47="","",IF(M47&gt;0,M47*N(F47)/Parámetros!$B$5,0))</f>
        <v/>
      </c>
      <c r="P47" s="22" t="str">
        <f aca="false">IF(G47="","",IF(G47&lt;1,"Sin derecho aún",IF(M47&lt;0,"Excede saldo",IF(M47=0,"Sin saldo",IF(M47&gt;N47,"Excede acumulación","Con saldo")))))</f>
        <v/>
      </c>
    </row>
    <row r="48" customFormat="false" ht="15" hidden="false" customHeight="false" outlineLevel="0" collapsed="false">
      <c r="A48" s="6"/>
      <c r="B48" s="6"/>
      <c r="C48" s="6"/>
      <c r="D48" s="6"/>
      <c r="E48" s="13"/>
      <c r="F48" s="16"/>
      <c r="G48" s="17" t="str">
        <f aca="false">IF(E48="","",DATEDIF(E48,Parámetros!$B$4,"y"))</f>
        <v/>
      </c>
      <c r="H48" s="18" t="str">
        <f aca="false">IF(G48="","",EDATE(E48,12*G48))</f>
        <v/>
      </c>
      <c r="I48" s="18" t="str">
        <f aca="false">IF(G48="","",EDATE(E48,12*(G48+1)))</f>
        <v/>
      </c>
      <c r="J48" s="17" t="str">
        <f aca="false">IF(G48="","",LOOKUP(G48,Parámetros!$A$12:$A$28,Parámetros!$B$12:$B$28))</f>
        <v/>
      </c>
      <c r="K48" s="19"/>
      <c r="L48" s="20" t="str">
        <f aca="false">IF(A48="","",SUMIFS('Registro Vacaciones'!$E$5:$E$504,'Registro Vacaciones'!$A$5:$A$504,A48,'Registro Vacaciones'!$C$5:$C$504,"&gt;="&amp;H48,'Registro Vacaciones'!$C$5:$C$504,"&lt;"&amp;I48,'Registro Vacaciones'!$G$5:$G$504,"&lt;&gt;Cancelada"))</f>
        <v/>
      </c>
      <c r="M48" s="20" t="str">
        <f aca="false">IF(G48="","",N(K48)+J48-L48)</f>
        <v/>
      </c>
      <c r="N48" s="17" t="str">
        <f aca="false">IF(G48="","",Parámetros!$B$7*J48)</f>
        <v/>
      </c>
      <c r="O48" s="21" t="str">
        <f aca="false">IF(G48="","",IF(M48&gt;0,M48*N(F48)/Parámetros!$B$5,0))</f>
        <v/>
      </c>
      <c r="P48" s="22" t="str">
        <f aca="false">IF(G48="","",IF(G48&lt;1,"Sin derecho aún",IF(M48&lt;0,"Excede saldo",IF(M48=0,"Sin saldo",IF(M48&gt;N48,"Excede acumulación","Con saldo")))))</f>
        <v/>
      </c>
    </row>
    <row r="49" customFormat="false" ht="15" hidden="false" customHeight="false" outlineLevel="0" collapsed="false">
      <c r="A49" s="6"/>
      <c r="B49" s="6"/>
      <c r="C49" s="6"/>
      <c r="D49" s="6"/>
      <c r="E49" s="13"/>
      <c r="F49" s="16"/>
      <c r="G49" s="17" t="str">
        <f aca="false">IF(E49="","",DATEDIF(E49,Parámetros!$B$4,"y"))</f>
        <v/>
      </c>
      <c r="H49" s="18" t="str">
        <f aca="false">IF(G49="","",EDATE(E49,12*G49))</f>
        <v/>
      </c>
      <c r="I49" s="18" t="str">
        <f aca="false">IF(G49="","",EDATE(E49,12*(G49+1)))</f>
        <v/>
      </c>
      <c r="J49" s="17" t="str">
        <f aca="false">IF(G49="","",LOOKUP(G49,Parámetros!$A$12:$A$28,Parámetros!$B$12:$B$28))</f>
        <v/>
      </c>
      <c r="K49" s="19"/>
      <c r="L49" s="20" t="str">
        <f aca="false">IF(A49="","",SUMIFS('Registro Vacaciones'!$E$5:$E$504,'Registro Vacaciones'!$A$5:$A$504,A49,'Registro Vacaciones'!$C$5:$C$504,"&gt;="&amp;H49,'Registro Vacaciones'!$C$5:$C$504,"&lt;"&amp;I49,'Registro Vacaciones'!$G$5:$G$504,"&lt;&gt;Cancelada"))</f>
        <v/>
      </c>
      <c r="M49" s="20" t="str">
        <f aca="false">IF(G49="","",N(K49)+J49-L49)</f>
        <v/>
      </c>
      <c r="N49" s="17" t="str">
        <f aca="false">IF(G49="","",Parámetros!$B$7*J49)</f>
        <v/>
      </c>
      <c r="O49" s="21" t="str">
        <f aca="false">IF(G49="","",IF(M49&gt;0,M49*N(F49)/Parámetros!$B$5,0))</f>
        <v/>
      </c>
      <c r="P49" s="22" t="str">
        <f aca="false">IF(G49="","",IF(G49&lt;1,"Sin derecho aún",IF(M49&lt;0,"Excede saldo",IF(M49=0,"Sin saldo",IF(M49&gt;N49,"Excede acumulación","Con saldo")))))</f>
        <v/>
      </c>
    </row>
    <row r="50" customFormat="false" ht="15" hidden="false" customHeight="false" outlineLevel="0" collapsed="false">
      <c r="A50" s="6"/>
      <c r="B50" s="6"/>
      <c r="C50" s="6"/>
      <c r="D50" s="6"/>
      <c r="E50" s="13"/>
      <c r="F50" s="16"/>
      <c r="G50" s="17" t="str">
        <f aca="false">IF(E50="","",DATEDIF(E50,Parámetros!$B$4,"y"))</f>
        <v/>
      </c>
      <c r="H50" s="18" t="str">
        <f aca="false">IF(G50="","",EDATE(E50,12*G50))</f>
        <v/>
      </c>
      <c r="I50" s="18" t="str">
        <f aca="false">IF(G50="","",EDATE(E50,12*(G50+1)))</f>
        <v/>
      </c>
      <c r="J50" s="17" t="str">
        <f aca="false">IF(G50="","",LOOKUP(G50,Parámetros!$A$12:$A$28,Parámetros!$B$12:$B$28))</f>
        <v/>
      </c>
      <c r="K50" s="19"/>
      <c r="L50" s="20" t="str">
        <f aca="false">IF(A50="","",SUMIFS('Registro Vacaciones'!$E$5:$E$504,'Registro Vacaciones'!$A$5:$A$504,A50,'Registro Vacaciones'!$C$5:$C$504,"&gt;="&amp;H50,'Registro Vacaciones'!$C$5:$C$504,"&lt;"&amp;I50,'Registro Vacaciones'!$G$5:$G$504,"&lt;&gt;Cancelada"))</f>
        <v/>
      </c>
      <c r="M50" s="20" t="str">
        <f aca="false">IF(G50="","",N(K50)+J50-L50)</f>
        <v/>
      </c>
      <c r="N50" s="17" t="str">
        <f aca="false">IF(G50="","",Parámetros!$B$7*J50)</f>
        <v/>
      </c>
      <c r="O50" s="21" t="str">
        <f aca="false">IF(G50="","",IF(M50&gt;0,M50*N(F50)/Parámetros!$B$5,0))</f>
        <v/>
      </c>
      <c r="P50" s="22" t="str">
        <f aca="false">IF(G50="","",IF(G50&lt;1,"Sin derecho aún",IF(M50&lt;0,"Excede saldo",IF(M50=0,"Sin saldo",IF(M50&gt;N50,"Excede acumulación","Con saldo")))))</f>
        <v/>
      </c>
    </row>
    <row r="51" customFormat="false" ht="15" hidden="false" customHeight="false" outlineLevel="0" collapsed="false">
      <c r="A51" s="6"/>
      <c r="B51" s="6"/>
      <c r="C51" s="6"/>
      <c r="D51" s="6"/>
      <c r="E51" s="13"/>
      <c r="F51" s="16"/>
      <c r="G51" s="17" t="str">
        <f aca="false">IF(E51="","",DATEDIF(E51,Parámetros!$B$4,"y"))</f>
        <v/>
      </c>
      <c r="H51" s="18" t="str">
        <f aca="false">IF(G51="","",EDATE(E51,12*G51))</f>
        <v/>
      </c>
      <c r="I51" s="18" t="str">
        <f aca="false">IF(G51="","",EDATE(E51,12*(G51+1)))</f>
        <v/>
      </c>
      <c r="J51" s="17" t="str">
        <f aca="false">IF(G51="","",LOOKUP(G51,Parámetros!$A$12:$A$28,Parámetros!$B$12:$B$28))</f>
        <v/>
      </c>
      <c r="K51" s="19"/>
      <c r="L51" s="20" t="str">
        <f aca="false">IF(A51="","",SUMIFS('Registro Vacaciones'!$E$5:$E$504,'Registro Vacaciones'!$A$5:$A$504,A51,'Registro Vacaciones'!$C$5:$C$504,"&gt;="&amp;H51,'Registro Vacaciones'!$C$5:$C$504,"&lt;"&amp;I51,'Registro Vacaciones'!$G$5:$G$504,"&lt;&gt;Cancelada"))</f>
        <v/>
      </c>
      <c r="M51" s="20" t="str">
        <f aca="false">IF(G51="","",N(K51)+J51-L51)</f>
        <v/>
      </c>
      <c r="N51" s="17" t="str">
        <f aca="false">IF(G51="","",Parámetros!$B$7*J51)</f>
        <v/>
      </c>
      <c r="O51" s="21" t="str">
        <f aca="false">IF(G51="","",IF(M51&gt;0,M51*N(F51)/Parámetros!$B$5,0))</f>
        <v/>
      </c>
      <c r="P51" s="22" t="str">
        <f aca="false">IF(G51="","",IF(G51&lt;1,"Sin derecho aún",IF(M51&lt;0,"Excede saldo",IF(M51=0,"Sin saldo",IF(M51&gt;N51,"Excede acumulación","Con saldo")))))</f>
        <v/>
      </c>
    </row>
    <row r="52" customFormat="false" ht="15" hidden="false" customHeight="false" outlineLevel="0" collapsed="false">
      <c r="A52" s="6"/>
      <c r="B52" s="6"/>
      <c r="C52" s="6"/>
      <c r="D52" s="6"/>
      <c r="E52" s="13"/>
      <c r="F52" s="16"/>
      <c r="G52" s="17" t="str">
        <f aca="false">IF(E52="","",DATEDIF(E52,Parámetros!$B$4,"y"))</f>
        <v/>
      </c>
      <c r="H52" s="18" t="str">
        <f aca="false">IF(G52="","",EDATE(E52,12*G52))</f>
        <v/>
      </c>
      <c r="I52" s="18" t="str">
        <f aca="false">IF(G52="","",EDATE(E52,12*(G52+1)))</f>
        <v/>
      </c>
      <c r="J52" s="17" t="str">
        <f aca="false">IF(G52="","",LOOKUP(G52,Parámetros!$A$12:$A$28,Parámetros!$B$12:$B$28))</f>
        <v/>
      </c>
      <c r="K52" s="19"/>
      <c r="L52" s="20" t="str">
        <f aca="false">IF(A52="","",SUMIFS('Registro Vacaciones'!$E$5:$E$504,'Registro Vacaciones'!$A$5:$A$504,A52,'Registro Vacaciones'!$C$5:$C$504,"&gt;="&amp;H52,'Registro Vacaciones'!$C$5:$C$504,"&lt;"&amp;I52,'Registro Vacaciones'!$G$5:$G$504,"&lt;&gt;Cancelada"))</f>
        <v/>
      </c>
      <c r="M52" s="20" t="str">
        <f aca="false">IF(G52="","",N(K52)+J52-L52)</f>
        <v/>
      </c>
      <c r="N52" s="17" t="str">
        <f aca="false">IF(G52="","",Parámetros!$B$7*J52)</f>
        <v/>
      </c>
      <c r="O52" s="21" t="str">
        <f aca="false">IF(G52="","",IF(M52&gt;0,M52*N(F52)/Parámetros!$B$5,0))</f>
        <v/>
      </c>
      <c r="P52" s="22" t="str">
        <f aca="false">IF(G52="","",IF(G52&lt;1,"Sin derecho aún",IF(M52&lt;0,"Excede saldo",IF(M52=0,"Sin saldo",IF(M52&gt;N52,"Excede acumulación","Con saldo")))))</f>
        <v/>
      </c>
    </row>
    <row r="53" customFormat="false" ht="15" hidden="false" customHeight="false" outlineLevel="0" collapsed="false">
      <c r="A53" s="6"/>
      <c r="B53" s="6"/>
      <c r="C53" s="6"/>
      <c r="D53" s="6"/>
      <c r="E53" s="13"/>
      <c r="F53" s="16"/>
      <c r="G53" s="17" t="str">
        <f aca="false">IF(E53="","",DATEDIF(E53,Parámetros!$B$4,"y"))</f>
        <v/>
      </c>
      <c r="H53" s="18" t="str">
        <f aca="false">IF(G53="","",EDATE(E53,12*G53))</f>
        <v/>
      </c>
      <c r="I53" s="18" t="str">
        <f aca="false">IF(G53="","",EDATE(E53,12*(G53+1)))</f>
        <v/>
      </c>
      <c r="J53" s="17" t="str">
        <f aca="false">IF(G53="","",LOOKUP(G53,Parámetros!$A$12:$A$28,Parámetros!$B$12:$B$28))</f>
        <v/>
      </c>
      <c r="K53" s="19"/>
      <c r="L53" s="20" t="str">
        <f aca="false">IF(A53="","",SUMIFS('Registro Vacaciones'!$E$5:$E$504,'Registro Vacaciones'!$A$5:$A$504,A53,'Registro Vacaciones'!$C$5:$C$504,"&gt;="&amp;H53,'Registro Vacaciones'!$C$5:$C$504,"&lt;"&amp;I53,'Registro Vacaciones'!$G$5:$G$504,"&lt;&gt;Cancelada"))</f>
        <v/>
      </c>
      <c r="M53" s="20" t="str">
        <f aca="false">IF(G53="","",N(K53)+J53-L53)</f>
        <v/>
      </c>
      <c r="N53" s="17" t="str">
        <f aca="false">IF(G53="","",Parámetros!$B$7*J53)</f>
        <v/>
      </c>
      <c r="O53" s="21" t="str">
        <f aca="false">IF(G53="","",IF(M53&gt;0,M53*N(F53)/Parámetros!$B$5,0))</f>
        <v/>
      </c>
      <c r="P53" s="22" t="str">
        <f aca="false">IF(G53="","",IF(G53&lt;1,"Sin derecho aún",IF(M53&lt;0,"Excede saldo",IF(M53=0,"Sin saldo",IF(M53&gt;N53,"Excede acumulación","Con saldo")))))</f>
        <v/>
      </c>
    </row>
    <row r="54" customFormat="false" ht="15" hidden="false" customHeight="false" outlineLevel="0" collapsed="false">
      <c r="A54" s="6"/>
      <c r="B54" s="6"/>
      <c r="C54" s="6"/>
      <c r="D54" s="6"/>
      <c r="E54" s="13"/>
      <c r="F54" s="16"/>
      <c r="G54" s="17" t="str">
        <f aca="false">IF(E54="","",DATEDIF(E54,Parámetros!$B$4,"y"))</f>
        <v/>
      </c>
      <c r="H54" s="18" t="str">
        <f aca="false">IF(G54="","",EDATE(E54,12*G54))</f>
        <v/>
      </c>
      <c r="I54" s="18" t="str">
        <f aca="false">IF(G54="","",EDATE(E54,12*(G54+1)))</f>
        <v/>
      </c>
      <c r="J54" s="17" t="str">
        <f aca="false">IF(G54="","",LOOKUP(G54,Parámetros!$A$12:$A$28,Parámetros!$B$12:$B$28))</f>
        <v/>
      </c>
      <c r="K54" s="19"/>
      <c r="L54" s="20" t="str">
        <f aca="false">IF(A54="","",SUMIFS('Registro Vacaciones'!$E$5:$E$504,'Registro Vacaciones'!$A$5:$A$504,A54,'Registro Vacaciones'!$C$5:$C$504,"&gt;="&amp;H54,'Registro Vacaciones'!$C$5:$C$504,"&lt;"&amp;I54,'Registro Vacaciones'!$G$5:$G$504,"&lt;&gt;Cancelada"))</f>
        <v/>
      </c>
      <c r="M54" s="20" t="str">
        <f aca="false">IF(G54="","",N(K54)+J54-L54)</f>
        <v/>
      </c>
      <c r="N54" s="17" t="str">
        <f aca="false">IF(G54="","",Parámetros!$B$7*J54)</f>
        <v/>
      </c>
      <c r="O54" s="21" t="str">
        <f aca="false">IF(G54="","",IF(M54&gt;0,M54*N(F54)/Parámetros!$B$5,0))</f>
        <v/>
      </c>
      <c r="P54" s="22" t="str">
        <f aca="false">IF(G54="","",IF(G54&lt;1,"Sin derecho aún",IF(M54&lt;0,"Excede saldo",IF(M54=0,"Sin saldo",IF(M54&gt;N54,"Excede acumulación","Con saldo")))))</f>
        <v/>
      </c>
    </row>
    <row r="55" customFormat="false" ht="15" hidden="false" customHeight="false" outlineLevel="0" collapsed="false">
      <c r="A55" s="6"/>
      <c r="B55" s="6"/>
      <c r="C55" s="6"/>
      <c r="D55" s="6"/>
      <c r="E55" s="13"/>
      <c r="F55" s="16"/>
      <c r="G55" s="17" t="str">
        <f aca="false">IF(E55="","",DATEDIF(E55,Parámetros!$B$4,"y"))</f>
        <v/>
      </c>
      <c r="H55" s="18" t="str">
        <f aca="false">IF(G55="","",EDATE(E55,12*G55))</f>
        <v/>
      </c>
      <c r="I55" s="18" t="str">
        <f aca="false">IF(G55="","",EDATE(E55,12*(G55+1)))</f>
        <v/>
      </c>
      <c r="J55" s="17" t="str">
        <f aca="false">IF(G55="","",LOOKUP(G55,Parámetros!$A$12:$A$28,Parámetros!$B$12:$B$28))</f>
        <v/>
      </c>
      <c r="K55" s="19"/>
      <c r="L55" s="20" t="str">
        <f aca="false">IF(A55="","",SUMIFS('Registro Vacaciones'!$E$5:$E$504,'Registro Vacaciones'!$A$5:$A$504,A55,'Registro Vacaciones'!$C$5:$C$504,"&gt;="&amp;H55,'Registro Vacaciones'!$C$5:$C$504,"&lt;"&amp;I55,'Registro Vacaciones'!$G$5:$G$504,"&lt;&gt;Cancelada"))</f>
        <v/>
      </c>
      <c r="M55" s="20" t="str">
        <f aca="false">IF(G55="","",N(K55)+J55-L55)</f>
        <v/>
      </c>
      <c r="N55" s="17" t="str">
        <f aca="false">IF(G55="","",Parámetros!$B$7*J55)</f>
        <v/>
      </c>
      <c r="O55" s="21" t="str">
        <f aca="false">IF(G55="","",IF(M55&gt;0,M55*N(F55)/Parámetros!$B$5,0))</f>
        <v/>
      </c>
      <c r="P55" s="22" t="str">
        <f aca="false">IF(G55="","",IF(G55&lt;1,"Sin derecho aún",IF(M55&lt;0,"Excede saldo",IF(M55=0,"Sin saldo",IF(M55&gt;N55,"Excede acumulación","Con saldo")))))</f>
        <v/>
      </c>
    </row>
    <row r="56" customFormat="false" ht="15" hidden="false" customHeight="false" outlineLevel="0" collapsed="false">
      <c r="A56" s="6"/>
      <c r="B56" s="6"/>
      <c r="C56" s="6"/>
      <c r="D56" s="6"/>
      <c r="E56" s="13"/>
      <c r="F56" s="16"/>
      <c r="G56" s="17" t="str">
        <f aca="false">IF(E56="","",DATEDIF(E56,Parámetros!$B$4,"y"))</f>
        <v/>
      </c>
      <c r="H56" s="18" t="str">
        <f aca="false">IF(G56="","",EDATE(E56,12*G56))</f>
        <v/>
      </c>
      <c r="I56" s="18" t="str">
        <f aca="false">IF(G56="","",EDATE(E56,12*(G56+1)))</f>
        <v/>
      </c>
      <c r="J56" s="17" t="str">
        <f aca="false">IF(G56="","",LOOKUP(G56,Parámetros!$A$12:$A$28,Parámetros!$B$12:$B$28))</f>
        <v/>
      </c>
      <c r="K56" s="19"/>
      <c r="L56" s="20" t="str">
        <f aca="false">IF(A56="","",SUMIFS('Registro Vacaciones'!$E$5:$E$504,'Registro Vacaciones'!$A$5:$A$504,A56,'Registro Vacaciones'!$C$5:$C$504,"&gt;="&amp;H56,'Registro Vacaciones'!$C$5:$C$504,"&lt;"&amp;I56,'Registro Vacaciones'!$G$5:$G$504,"&lt;&gt;Cancelada"))</f>
        <v/>
      </c>
      <c r="M56" s="20" t="str">
        <f aca="false">IF(G56="","",N(K56)+J56-L56)</f>
        <v/>
      </c>
      <c r="N56" s="17" t="str">
        <f aca="false">IF(G56="","",Parámetros!$B$7*J56)</f>
        <v/>
      </c>
      <c r="O56" s="21" t="str">
        <f aca="false">IF(G56="","",IF(M56&gt;0,M56*N(F56)/Parámetros!$B$5,0))</f>
        <v/>
      </c>
      <c r="P56" s="22" t="str">
        <f aca="false">IF(G56="","",IF(G56&lt;1,"Sin derecho aún",IF(M56&lt;0,"Excede saldo",IF(M56=0,"Sin saldo",IF(M56&gt;N56,"Excede acumulación","Con saldo")))))</f>
        <v/>
      </c>
    </row>
    <row r="57" customFormat="false" ht="15" hidden="false" customHeight="false" outlineLevel="0" collapsed="false">
      <c r="A57" s="6"/>
      <c r="B57" s="6"/>
      <c r="C57" s="6"/>
      <c r="D57" s="6"/>
      <c r="E57" s="13"/>
      <c r="F57" s="16"/>
      <c r="G57" s="17" t="str">
        <f aca="false">IF(E57="","",DATEDIF(E57,Parámetros!$B$4,"y"))</f>
        <v/>
      </c>
      <c r="H57" s="18" t="str">
        <f aca="false">IF(G57="","",EDATE(E57,12*G57))</f>
        <v/>
      </c>
      <c r="I57" s="18" t="str">
        <f aca="false">IF(G57="","",EDATE(E57,12*(G57+1)))</f>
        <v/>
      </c>
      <c r="J57" s="17" t="str">
        <f aca="false">IF(G57="","",LOOKUP(G57,Parámetros!$A$12:$A$28,Parámetros!$B$12:$B$28))</f>
        <v/>
      </c>
      <c r="K57" s="19"/>
      <c r="L57" s="20" t="str">
        <f aca="false">IF(A57="","",SUMIFS('Registro Vacaciones'!$E$5:$E$504,'Registro Vacaciones'!$A$5:$A$504,A57,'Registro Vacaciones'!$C$5:$C$504,"&gt;="&amp;H57,'Registro Vacaciones'!$C$5:$C$504,"&lt;"&amp;I57,'Registro Vacaciones'!$G$5:$G$504,"&lt;&gt;Cancelada"))</f>
        <v/>
      </c>
      <c r="M57" s="20" t="str">
        <f aca="false">IF(G57="","",N(K57)+J57-L57)</f>
        <v/>
      </c>
      <c r="N57" s="17" t="str">
        <f aca="false">IF(G57="","",Parámetros!$B$7*J57)</f>
        <v/>
      </c>
      <c r="O57" s="21" t="str">
        <f aca="false">IF(G57="","",IF(M57&gt;0,M57*N(F57)/Parámetros!$B$5,0))</f>
        <v/>
      </c>
      <c r="P57" s="22" t="str">
        <f aca="false">IF(G57="","",IF(G57&lt;1,"Sin derecho aún",IF(M57&lt;0,"Excede saldo",IF(M57=0,"Sin saldo",IF(M57&gt;N57,"Excede acumulación","Con saldo")))))</f>
        <v/>
      </c>
    </row>
    <row r="58" customFormat="false" ht="15" hidden="false" customHeight="false" outlineLevel="0" collapsed="false">
      <c r="A58" s="6"/>
      <c r="B58" s="6"/>
      <c r="C58" s="6"/>
      <c r="D58" s="6"/>
      <c r="E58" s="13"/>
      <c r="F58" s="16"/>
      <c r="G58" s="17" t="str">
        <f aca="false">IF(E58="","",DATEDIF(E58,Parámetros!$B$4,"y"))</f>
        <v/>
      </c>
      <c r="H58" s="18" t="str">
        <f aca="false">IF(G58="","",EDATE(E58,12*G58))</f>
        <v/>
      </c>
      <c r="I58" s="18" t="str">
        <f aca="false">IF(G58="","",EDATE(E58,12*(G58+1)))</f>
        <v/>
      </c>
      <c r="J58" s="17" t="str">
        <f aca="false">IF(G58="","",LOOKUP(G58,Parámetros!$A$12:$A$28,Parámetros!$B$12:$B$28))</f>
        <v/>
      </c>
      <c r="K58" s="19"/>
      <c r="L58" s="20" t="str">
        <f aca="false">IF(A58="","",SUMIFS('Registro Vacaciones'!$E$5:$E$504,'Registro Vacaciones'!$A$5:$A$504,A58,'Registro Vacaciones'!$C$5:$C$504,"&gt;="&amp;H58,'Registro Vacaciones'!$C$5:$C$504,"&lt;"&amp;I58,'Registro Vacaciones'!$G$5:$G$504,"&lt;&gt;Cancelada"))</f>
        <v/>
      </c>
      <c r="M58" s="20" t="str">
        <f aca="false">IF(G58="","",N(K58)+J58-L58)</f>
        <v/>
      </c>
      <c r="N58" s="17" t="str">
        <f aca="false">IF(G58="","",Parámetros!$B$7*J58)</f>
        <v/>
      </c>
      <c r="O58" s="21" t="str">
        <f aca="false">IF(G58="","",IF(M58&gt;0,M58*N(F58)/Parámetros!$B$5,0))</f>
        <v/>
      </c>
      <c r="P58" s="22" t="str">
        <f aca="false">IF(G58="","",IF(G58&lt;1,"Sin derecho aún",IF(M58&lt;0,"Excede saldo",IF(M58=0,"Sin saldo",IF(M58&gt;N58,"Excede acumulación","Con saldo")))))</f>
        <v/>
      </c>
    </row>
    <row r="59" customFormat="false" ht="15" hidden="false" customHeight="false" outlineLevel="0" collapsed="false">
      <c r="A59" s="6"/>
      <c r="B59" s="6"/>
      <c r="C59" s="6"/>
      <c r="D59" s="6"/>
      <c r="E59" s="13"/>
      <c r="F59" s="16"/>
      <c r="G59" s="17" t="str">
        <f aca="false">IF(E59="","",DATEDIF(E59,Parámetros!$B$4,"y"))</f>
        <v/>
      </c>
      <c r="H59" s="18" t="str">
        <f aca="false">IF(G59="","",EDATE(E59,12*G59))</f>
        <v/>
      </c>
      <c r="I59" s="18" t="str">
        <f aca="false">IF(G59="","",EDATE(E59,12*(G59+1)))</f>
        <v/>
      </c>
      <c r="J59" s="17" t="str">
        <f aca="false">IF(G59="","",LOOKUP(G59,Parámetros!$A$12:$A$28,Parámetros!$B$12:$B$28))</f>
        <v/>
      </c>
      <c r="K59" s="19"/>
      <c r="L59" s="20" t="str">
        <f aca="false">IF(A59="","",SUMIFS('Registro Vacaciones'!$E$5:$E$504,'Registro Vacaciones'!$A$5:$A$504,A59,'Registro Vacaciones'!$C$5:$C$504,"&gt;="&amp;H59,'Registro Vacaciones'!$C$5:$C$504,"&lt;"&amp;I59,'Registro Vacaciones'!$G$5:$G$504,"&lt;&gt;Cancelada"))</f>
        <v/>
      </c>
      <c r="M59" s="20" t="str">
        <f aca="false">IF(G59="","",N(K59)+J59-L59)</f>
        <v/>
      </c>
      <c r="N59" s="17" t="str">
        <f aca="false">IF(G59="","",Parámetros!$B$7*J59)</f>
        <v/>
      </c>
      <c r="O59" s="21" t="str">
        <f aca="false">IF(G59="","",IF(M59&gt;0,M59*N(F59)/Parámetros!$B$5,0))</f>
        <v/>
      </c>
      <c r="P59" s="22" t="str">
        <f aca="false">IF(G59="","",IF(G59&lt;1,"Sin derecho aún",IF(M59&lt;0,"Excede saldo",IF(M59=0,"Sin saldo",IF(M59&gt;N59,"Excede acumulación","Con saldo")))))</f>
        <v/>
      </c>
    </row>
    <row r="60" customFormat="false" ht="15" hidden="false" customHeight="false" outlineLevel="0" collapsed="false">
      <c r="A60" s="6"/>
      <c r="B60" s="6"/>
      <c r="C60" s="6"/>
      <c r="D60" s="6"/>
      <c r="E60" s="13"/>
      <c r="F60" s="16"/>
      <c r="G60" s="17" t="str">
        <f aca="false">IF(E60="","",DATEDIF(E60,Parámetros!$B$4,"y"))</f>
        <v/>
      </c>
      <c r="H60" s="18" t="str">
        <f aca="false">IF(G60="","",EDATE(E60,12*G60))</f>
        <v/>
      </c>
      <c r="I60" s="18" t="str">
        <f aca="false">IF(G60="","",EDATE(E60,12*(G60+1)))</f>
        <v/>
      </c>
      <c r="J60" s="17" t="str">
        <f aca="false">IF(G60="","",LOOKUP(G60,Parámetros!$A$12:$A$28,Parámetros!$B$12:$B$28))</f>
        <v/>
      </c>
      <c r="K60" s="19"/>
      <c r="L60" s="20" t="str">
        <f aca="false">IF(A60="","",SUMIFS('Registro Vacaciones'!$E$5:$E$504,'Registro Vacaciones'!$A$5:$A$504,A60,'Registro Vacaciones'!$C$5:$C$504,"&gt;="&amp;H60,'Registro Vacaciones'!$C$5:$C$504,"&lt;"&amp;I60,'Registro Vacaciones'!$G$5:$G$504,"&lt;&gt;Cancelada"))</f>
        <v/>
      </c>
      <c r="M60" s="20" t="str">
        <f aca="false">IF(G60="","",N(K60)+J60-L60)</f>
        <v/>
      </c>
      <c r="N60" s="17" t="str">
        <f aca="false">IF(G60="","",Parámetros!$B$7*J60)</f>
        <v/>
      </c>
      <c r="O60" s="21" t="str">
        <f aca="false">IF(G60="","",IF(M60&gt;0,M60*N(F60)/Parámetros!$B$5,0))</f>
        <v/>
      </c>
      <c r="P60" s="22" t="str">
        <f aca="false">IF(G60="","",IF(G60&lt;1,"Sin derecho aún",IF(M60&lt;0,"Excede saldo",IF(M60=0,"Sin saldo",IF(M60&gt;N60,"Excede acumulación","Con saldo")))))</f>
        <v/>
      </c>
    </row>
    <row r="61" customFormat="false" ht="15" hidden="false" customHeight="false" outlineLevel="0" collapsed="false">
      <c r="A61" s="6"/>
      <c r="B61" s="6"/>
      <c r="C61" s="6"/>
      <c r="D61" s="6"/>
      <c r="E61" s="13"/>
      <c r="F61" s="16"/>
      <c r="G61" s="17" t="str">
        <f aca="false">IF(E61="","",DATEDIF(E61,Parámetros!$B$4,"y"))</f>
        <v/>
      </c>
      <c r="H61" s="18" t="str">
        <f aca="false">IF(G61="","",EDATE(E61,12*G61))</f>
        <v/>
      </c>
      <c r="I61" s="18" t="str">
        <f aca="false">IF(G61="","",EDATE(E61,12*(G61+1)))</f>
        <v/>
      </c>
      <c r="J61" s="17" t="str">
        <f aca="false">IF(G61="","",LOOKUP(G61,Parámetros!$A$12:$A$28,Parámetros!$B$12:$B$28))</f>
        <v/>
      </c>
      <c r="K61" s="19"/>
      <c r="L61" s="20" t="str">
        <f aca="false">IF(A61="","",SUMIFS('Registro Vacaciones'!$E$5:$E$504,'Registro Vacaciones'!$A$5:$A$504,A61,'Registro Vacaciones'!$C$5:$C$504,"&gt;="&amp;H61,'Registro Vacaciones'!$C$5:$C$504,"&lt;"&amp;I61,'Registro Vacaciones'!$G$5:$G$504,"&lt;&gt;Cancelada"))</f>
        <v/>
      </c>
      <c r="M61" s="20" t="str">
        <f aca="false">IF(G61="","",N(K61)+J61-L61)</f>
        <v/>
      </c>
      <c r="N61" s="17" t="str">
        <f aca="false">IF(G61="","",Parámetros!$B$7*J61)</f>
        <v/>
      </c>
      <c r="O61" s="21" t="str">
        <f aca="false">IF(G61="","",IF(M61&gt;0,M61*N(F61)/Parámetros!$B$5,0))</f>
        <v/>
      </c>
      <c r="P61" s="22" t="str">
        <f aca="false">IF(G61="","",IF(G61&lt;1,"Sin derecho aún",IF(M61&lt;0,"Excede saldo",IF(M61=0,"Sin saldo",IF(M61&gt;N61,"Excede acumulación","Con saldo")))))</f>
        <v/>
      </c>
    </row>
    <row r="62" customFormat="false" ht="15" hidden="false" customHeight="false" outlineLevel="0" collapsed="false">
      <c r="A62" s="6"/>
      <c r="B62" s="6"/>
      <c r="C62" s="6"/>
      <c r="D62" s="6"/>
      <c r="E62" s="13"/>
      <c r="F62" s="16"/>
      <c r="G62" s="17" t="str">
        <f aca="false">IF(E62="","",DATEDIF(E62,Parámetros!$B$4,"y"))</f>
        <v/>
      </c>
      <c r="H62" s="18" t="str">
        <f aca="false">IF(G62="","",EDATE(E62,12*G62))</f>
        <v/>
      </c>
      <c r="I62" s="18" t="str">
        <f aca="false">IF(G62="","",EDATE(E62,12*(G62+1)))</f>
        <v/>
      </c>
      <c r="J62" s="17" t="str">
        <f aca="false">IF(G62="","",LOOKUP(G62,Parámetros!$A$12:$A$28,Parámetros!$B$12:$B$28))</f>
        <v/>
      </c>
      <c r="K62" s="19"/>
      <c r="L62" s="20" t="str">
        <f aca="false">IF(A62="","",SUMIFS('Registro Vacaciones'!$E$5:$E$504,'Registro Vacaciones'!$A$5:$A$504,A62,'Registro Vacaciones'!$C$5:$C$504,"&gt;="&amp;H62,'Registro Vacaciones'!$C$5:$C$504,"&lt;"&amp;I62,'Registro Vacaciones'!$G$5:$G$504,"&lt;&gt;Cancelada"))</f>
        <v/>
      </c>
      <c r="M62" s="20" t="str">
        <f aca="false">IF(G62="","",N(K62)+J62-L62)</f>
        <v/>
      </c>
      <c r="N62" s="17" t="str">
        <f aca="false">IF(G62="","",Parámetros!$B$7*J62)</f>
        <v/>
      </c>
      <c r="O62" s="21" t="str">
        <f aca="false">IF(G62="","",IF(M62&gt;0,M62*N(F62)/Parámetros!$B$5,0))</f>
        <v/>
      </c>
      <c r="P62" s="22" t="str">
        <f aca="false">IF(G62="","",IF(G62&lt;1,"Sin derecho aún",IF(M62&lt;0,"Excede saldo",IF(M62=0,"Sin saldo",IF(M62&gt;N62,"Excede acumulación","Con saldo")))))</f>
        <v/>
      </c>
    </row>
    <row r="63" customFormat="false" ht="15" hidden="false" customHeight="false" outlineLevel="0" collapsed="false">
      <c r="A63" s="6"/>
      <c r="B63" s="6"/>
      <c r="C63" s="6"/>
      <c r="D63" s="6"/>
      <c r="E63" s="13"/>
      <c r="F63" s="16"/>
      <c r="G63" s="17" t="str">
        <f aca="false">IF(E63="","",DATEDIF(E63,Parámetros!$B$4,"y"))</f>
        <v/>
      </c>
      <c r="H63" s="18" t="str">
        <f aca="false">IF(G63="","",EDATE(E63,12*G63))</f>
        <v/>
      </c>
      <c r="I63" s="18" t="str">
        <f aca="false">IF(G63="","",EDATE(E63,12*(G63+1)))</f>
        <v/>
      </c>
      <c r="J63" s="17" t="str">
        <f aca="false">IF(G63="","",LOOKUP(G63,Parámetros!$A$12:$A$28,Parámetros!$B$12:$B$28))</f>
        <v/>
      </c>
      <c r="K63" s="19"/>
      <c r="L63" s="20" t="str">
        <f aca="false">IF(A63="","",SUMIFS('Registro Vacaciones'!$E$5:$E$504,'Registro Vacaciones'!$A$5:$A$504,A63,'Registro Vacaciones'!$C$5:$C$504,"&gt;="&amp;H63,'Registro Vacaciones'!$C$5:$C$504,"&lt;"&amp;I63,'Registro Vacaciones'!$G$5:$G$504,"&lt;&gt;Cancelada"))</f>
        <v/>
      </c>
      <c r="M63" s="20" t="str">
        <f aca="false">IF(G63="","",N(K63)+J63-L63)</f>
        <v/>
      </c>
      <c r="N63" s="17" t="str">
        <f aca="false">IF(G63="","",Parámetros!$B$7*J63)</f>
        <v/>
      </c>
      <c r="O63" s="21" t="str">
        <f aca="false">IF(G63="","",IF(M63&gt;0,M63*N(F63)/Parámetros!$B$5,0))</f>
        <v/>
      </c>
      <c r="P63" s="22" t="str">
        <f aca="false">IF(G63="","",IF(G63&lt;1,"Sin derecho aún",IF(M63&lt;0,"Excede saldo",IF(M63=0,"Sin saldo",IF(M63&gt;N63,"Excede acumulación","Con saldo")))))</f>
        <v/>
      </c>
    </row>
    <row r="64" customFormat="false" ht="15" hidden="false" customHeight="false" outlineLevel="0" collapsed="false">
      <c r="A64" s="6"/>
      <c r="B64" s="6"/>
      <c r="C64" s="6"/>
      <c r="D64" s="6"/>
      <c r="E64" s="13"/>
      <c r="F64" s="16"/>
      <c r="G64" s="17" t="str">
        <f aca="false">IF(E64="","",DATEDIF(E64,Parámetros!$B$4,"y"))</f>
        <v/>
      </c>
      <c r="H64" s="18" t="str">
        <f aca="false">IF(G64="","",EDATE(E64,12*G64))</f>
        <v/>
      </c>
      <c r="I64" s="18" t="str">
        <f aca="false">IF(G64="","",EDATE(E64,12*(G64+1)))</f>
        <v/>
      </c>
      <c r="J64" s="17" t="str">
        <f aca="false">IF(G64="","",LOOKUP(G64,Parámetros!$A$12:$A$28,Parámetros!$B$12:$B$28))</f>
        <v/>
      </c>
      <c r="K64" s="19"/>
      <c r="L64" s="20" t="str">
        <f aca="false">IF(A64="","",SUMIFS('Registro Vacaciones'!$E$5:$E$504,'Registro Vacaciones'!$A$5:$A$504,A64,'Registro Vacaciones'!$C$5:$C$504,"&gt;="&amp;H64,'Registro Vacaciones'!$C$5:$C$504,"&lt;"&amp;I64,'Registro Vacaciones'!$G$5:$G$504,"&lt;&gt;Cancelada"))</f>
        <v/>
      </c>
      <c r="M64" s="20" t="str">
        <f aca="false">IF(G64="","",N(K64)+J64-L64)</f>
        <v/>
      </c>
      <c r="N64" s="17" t="str">
        <f aca="false">IF(G64="","",Parámetros!$B$7*J64)</f>
        <v/>
      </c>
      <c r="O64" s="21" t="str">
        <f aca="false">IF(G64="","",IF(M64&gt;0,M64*N(F64)/Parámetros!$B$5,0))</f>
        <v/>
      </c>
      <c r="P64" s="22" t="str">
        <f aca="false">IF(G64="","",IF(G64&lt;1,"Sin derecho aún",IF(M64&lt;0,"Excede saldo",IF(M64=0,"Sin saldo",IF(M64&gt;N64,"Excede acumulación","Con saldo")))))</f>
        <v/>
      </c>
    </row>
    <row r="66" customFormat="false" ht="15" hidden="false" customHeight="false" outlineLevel="0" collapsed="false">
      <c r="A66" s="8" t="s">
        <v>66</v>
      </c>
    </row>
  </sheetData>
  <autoFilter ref="A4:P64"/>
  <conditionalFormatting sqref="P5:P64">
    <cfRule type="expression" priority="2" aboveAverage="0" equalAverage="0" bottom="0" percent="0" rank="0" text="" dxfId="6">
      <formula>$P5="Excede saldo"</formula>
    </cfRule>
    <cfRule type="expression" priority="3" aboveAverage="0" equalAverage="0" bottom="0" percent="0" rank="0" text="" dxfId="6">
      <formula>$P5="Excede acumulación"</formula>
    </cfRule>
    <cfRule type="expression" priority="4" aboveAverage="0" equalAverage="0" bottom="0" percent="0" rank="0" text="" dxfId="7">
      <formula>$P5="Con saldo"</formula>
    </cfRule>
  </conditionalFormatting>
  <conditionalFormatting sqref="M5:M64">
    <cfRule type="expression" priority="5" aboveAverage="0" equalAverage="0" bottom="0" percent="0" rank="0" text="" dxfId="8">
      <formula>AND(ISNUMBER($M5),$M5&lt;0)</formula>
    </cfRule>
  </conditionalFormatting>
  <dataValidations count="2">
    <dataValidation allowBlank="true" error="Capture una fecha válida (dd/mm/aaaa)." errorStyle="stop" operator="greaterThan" showDropDown="false" showErrorMessage="true" showInputMessage="false" sqref="E5:E64" type="date">
      <formula1>36526</formula1>
      <formula2>0</formula2>
    </dataValidation>
    <dataValidation allowBlank="true" error="Capture un número mayor o igual a 0." errorStyle="stop" operator="greaterThanOrEqual" showDropDown="false" showErrorMessage="true" showInputMessage="false" sqref="F5:F64 K5:K6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4" t="s">
        <v>67</v>
      </c>
    </row>
    <row r="2" customFormat="false" ht="15" hidden="false" customHeight="false" outlineLevel="0" collapsed="false">
      <c r="A2" s="23" t="s">
        <v>68</v>
      </c>
    </row>
    <row r="4" customFormat="false" ht="39.75" hidden="false" customHeight="true" outlineLevel="0" collapsed="false">
      <c r="A4" s="15" t="s">
        <v>69</v>
      </c>
      <c r="B4" s="15" t="s">
        <v>70</v>
      </c>
      <c r="C4" s="15" t="s">
        <v>71</v>
      </c>
      <c r="D4" s="15" t="s">
        <v>72</v>
      </c>
      <c r="E4" s="15" t="s">
        <v>73</v>
      </c>
      <c r="F4" s="15" t="s">
        <v>74</v>
      </c>
      <c r="G4" s="15" t="s">
        <v>75</v>
      </c>
      <c r="H4" s="15" t="s">
        <v>76</v>
      </c>
      <c r="I4" s="15" t="s">
        <v>77</v>
      </c>
      <c r="J4" s="15" t="s">
        <v>78</v>
      </c>
      <c r="K4" s="15" t="s">
        <v>79</v>
      </c>
    </row>
    <row r="5" customFormat="false" ht="15" hidden="false" customHeight="false" outlineLevel="0" collapsed="false">
      <c r="A5" s="6" t="s">
        <v>54</v>
      </c>
      <c r="B5" s="24" t="str">
        <f aca="false">IF(A5="","",IFERROR(INDEX(Empleados!$B$5:$B$64,MATCH(A5,Empleados!$A$5:$A$64,0)),"ID no encontrado"))</f>
        <v>María Fernanda López Ruiz</v>
      </c>
      <c r="C5" s="13" t="n">
        <v>46216</v>
      </c>
      <c r="D5" s="13" t="n">
        <v>46230</v>
      </c>
      <c r="E5" s="22" t="n">
        <f aca="false">IF(OR(C5="",D5=""),"",IF(Parámetros!$B$6="Calendario",D5-C5+1,NETWORKDAYS.INTL(C5,D5,Parámetros!$B$8,Parámetros!$D$12:$D$41)))</f>
        <v>15</v>
      </c>
      <c r="F5" s="18" t="n">
        <f aca="false">IF(D5="","",IF(Parámetros!$B$6="Calendario",D5+1,WORKDAY.INTL(D5,1,Parámetros!$B$8,Parámetros!$D$12:$D$41)))</f>
        <v>46231</v>
      </c>
      <c r="G5" s="12" t="s">
        <v>80</v>
      </c>
      <c r="H5" s="6" t="s">
        <v>81</v>
      </c>
      <c r="I5" s="12" t="s">
        <v>82</v>
      </c>
      <c r="J5" s="6" t="s">
        <v>83</v>
      </c>
      <c r="K5" s="12"/>
    </row>
    <row r="6" customFormat="false" ht="15" hidden="false" customHeight="false" outlineLevel="0" collapsed="false">
      <c r="A6" s="6" t="s">
        <v>58</v>
      </c>
      <c r="B6" s="24" t="str">
        <f aca="false">IF(A6="","",IFERROR(INDEX(Empleados!$B$5:$B$64,MATCH(A6,Empleados!$A$5:$A$64,0)),"ID no encontrado"))</f>
        <v>Carlos Alberto Pérez Soto</v>
      </c>
      <c r="C6" s="13" t="n">
        <v>46237</v>
      </c>
      <c r="D6" s="13" t="n">
        <v>46243</v>
      </c>
      <c r="E6" s="22" t="n">
        <f aca="false">IF(OR(C6="",D6=""),"",IF(Parámetros!$B$6="Calendario",D6-C6+1,NETWORKDAYS.INTL(C6,D6,Parámetros!$B$8,Parámetros!$D$12:$D$41)))</f>
        <v>7</v>
      </c>
      <c r="F6" s="18" t="n">
        <f aca="false">IF(D6="","",IF(Parámetros!$B$6="Calendario",D6+1,WORKDAY.INTL(D6,1,Parámetros!$B$8,Parámetros!$D$12:$D$41)))</f>
        <v>46244</v>
      </c>
      <c r="G6" s="12" t="s">
        <v>84</v>
      </c>
      <c r="H6" s="6" t="s">
        <v>85</v>
      </c>
      <c r="I6" s="12" t="s">
        <v>86</v>
      </c>
      <c r="J6" s="6" t="s">
        <v>87</v>
      </c>
      <c r="K6" s="12"/>
    </row>
    <row r="7" customFormat="false" ht="15" hidden="false" customHeight="false" outlineLevel="0" collapsed="false">
      <c r="A7" s="6"/>
      <c r="B7" s="24" t="str">
        <f aca="false">IF(A7="","",IFERROR(INDEX(Empleados!$B$5:$B$64,MATCH(A7,Empleados!$A$5:$A$64,0)),"ID no encontrado"))</f>
        <v/>
      </c>
      <c r="C7" s="13"/>
      <c r="D7" s="13"/>
      <c r="E7" s="22" t="str">
        <f aca="false">IF(OR(C7="",D7=""),"",IF(Parámetros!$B$6="Calendario",D7-C7+1,NETWORKDAYS.INTL(C7,D7,Parámetros!$B$8,Parámetros!$D$12:$D$41)))</f>
        <v/>
      </c>
      <c r="F7" s="18" t="str">
        <f aca="false">IF(D7="","",IF(Parámetros!$B$6="Calendario",D7+1,WORKDAY.INTL(D7,1,Parámetros!$B$8,Parámetros!$D$12:$D$41)))</f>
        <v/>
      </c>
      <c r="G7" s="12"/>
      <c r="H7" s="6"/>
      <c r="I7" s="12"/>
      <c r="J7" s="6"/>
      <c r="K7" s="12"/>
    </row>
    <row r="8" customFormat="false" ht="15" hidden="false" customHeight="false" outlineLevel="0" collapsed="false">
      <c r="A8" s="6"/>
      <c r="B8" s="24" t="str">
        <f aca="false">IF(A8="","",IFERROR(INDEX(Empleados!$B$5:$B$64,MATCH(A8,Empleados!$A$5:$A$64,0)),"ID no encontrado"))</f>
        <v/>
      </c>
      <c r="C8" s="13"/>
      <c r="D8" s="13"/>
      <c r="E8" s="22" t="str">
        <f aca="false">IF(OR(C8="",D8=""),"",IF(Parámetros!$B$6="Calendario",D8-C8+1,NETWORKDAYS.INTL(C8,D8,Parámetros!$B$8,Parámetros!$D$12:$D$41)))</f>
        <v/>
      </c>
      <c r="F8" s="18" t="str">
        <f aca="false">IF(D8="","",IF(Parámetros!$B$6="Calendario",D8+1,WORKDAY.INTL(D8,1,Parámetros!$B$8,Parámetros!$D$12:$D$41)))</f>
        <v/>
      </c>
      <c r="G8" s="12"/>
      <c r="H8" s="6"/>
      <c r="I8" s="12"/>
      <c r="J8" s="6"/>
      <c r="K8" s="12"/>
    </row>
    <row r="9" customFormat="false" ht="15" hidden="false" customHeight="false" outlineLevel="0" collapsed="false">
      <c r="A9" s="6"/>
      <c r="B9" s="24" t="str">
        <f aca="false">IF(A9="","",IFERROR(INDEX(Empleados!$B$5:$B$64,MATCH(A9,Empleados!$A$5:$A$64,0)),"ID no encontrado"))</f>
        <v/>
      </c>
      <c r="C9" s="13"/>
      <c r="D9" s="13"/>
      <c r="E9" s="22" t="str">
        <f aca="false">IF(OR(C9="",D9=""),"",IF(Parámetros!$B$6="Calendario",D9-C9+1,NETWORKDAYS.INTL(C9,D9,Parámetros!$B$8,Parámetros!$D$12:$D$41)))</f>
        <v/>
      </c>
      <c r="F9" s="18" t="str">
        <f aca="false">IF(D9="","",IF(Parámetros!$B$6="Calendario",D9+1,WORKDAY.INTL(D9,1,Parámetros!$B$8,Parámetros!$D$12:$D$41)))</f>
        <v/>
      </c>
      <c r="G9" s="12"/>
      <c r="H9" s="6"/>
      <c r="I9" s="12"/>
      <c r="J9" s="6"/>
      <c r="K9" s="12"/>
    </row>
    <row r="10" customFormat="false" ht="15" hidden="false" customHeight="false" outlineLevel="0" collapsed="false">
      <c r="A10" s="6"/>
      <c r="B10" s="24" t="str">
        <f aca="false">IF(A10="","",IFERROR(INDEX(Empleados!$B$5:$B$64,MATCH(A10,Empleados!$A$5:$A$64,0)),"ID no encontrado"))</f>
        <v/>
      </c>
      <c r="C10" s="13"/>
      <c r="D10" s="13"/>
      <c r="E10" s="22" t="str">
        <f aca="false">IF(OR(C10="",D10=""),"",IF(Parámetros!$B$6="Calendario",D10-C10+1,NETWORKDAYS.INTL(C10,D10,Parámetros!$B$8,Parámetros!$D$12:$D$41)))</f>
        <v/>
      </c>
      <c r="F10" s="18" t="str">
        <f aca="false">IF(D10="","",IF(Parámetros!$B$6="Calendario",D10+1,WORKDAY.INTL(D10,1,Parámetros!$B$8,Parámetros!$D$12:$D$41)))</f>
        <v/>
      </c>
      <c r="G10" s="12"/>
      <c r="H10" s="6"/>
      <c r="I10" s="12"/>
      <c r="J10" s="6"/>
      <c r="K10" s="12"/>
    </row>
    <row r="11" customFormat="false" ht="15" hidden="false" customHeight="false" outlineLevel="0" collapsed="false">
      <c r="A11" s="6"/>
      <c r="B11" s="24" t="str">
        <f aca="false">IF(A11="","",IFERROR(INDEX(Empleados!$B$5:$B$64,MATCH(A11,Empleados!$A$5:$A$64,0)),"ID no encontrado"))</f>
        <v/>
      </c>
      <c r="C11" s="13"/>
      <c r="D11" s="13"/>
      <c r="E11" s="22" t="str">
        <f aca="false">IF(OR(C11="",D11=""),"",IF(Parámetros!$B$6="Calendario",D11-C11+1,NETWORKDAYS.INTL(C11,D11,Parámetros!$B$8,Parámetros!$D$12:$D$41)))</f>
        <v/>
      </c>
      <c r="F11" s="18" t="str">
        <f aca="false">IF(D11="","",IF(Parámetros!$B$6="Calendario",D11+1,WORKDAY.INTL(D11,1,Parámetros!$B$8,Parámetros!$D$12:$D$41)))</f>
        <v/>
      </c>
      <c r="G11" s="12"/>
      <c r="H11" s="6"/>
      <c r="I11" s="12"/>
      <c r="J11" s="6"/>
      <c r="K11" s="12"/>
    </row>
    <row r="12" customFormat="false" ht="15" hidden="false" customHeight="false" outlineLevel="0" collapsed="false">
      <c r="A12" s="6"/>
      <c r="B12" s="24" t="str">
        <f aca="false">IF(A12="","",IFERROR(INDEX(Empleados!$B$5:$B$64,MATCH(A12,Empleados!$A$5:$A$64,0)),"ID no encontrado"))</f>
        <v/>
      </c>
      <c r="C12" s="13"/>
      <c r="D12" s="13"/>
      <c r="E12" s="22" t="str">
        <f aca="false">IF(OR(C12="",D12=""),"",IF(Parámetros!$B$6="Calendario",D12-C12+1,NETWORKDAYS.INTL(C12,D12,Parámetros!$B$8,Parámetros!$D$12:$D$41)))</f>
        <v/>
      </c>
      <c r="F12" s="18" t="str">
        <f aca="false">IF(D12="","",IF(Parámetros!$B$6="Calendario",D12+1,WORKDAY.INTL(D12,1,Parámetros!$B$8,Parámetros!$D$12:$D$41)))</f>
        <v/>
      </c>
      <c r="G12" s="12"/>
      <c r="H12" s="6"/>
      <c r="I12" s="12"/>
      <c r="J12" s="6"/>
      <c r="K12" s="12"/>
    </row>
    <row r="13" customFormat="false" ht="15" hidden="false" customHeight="false" outlineLevel="0" collapsed="false">
      <c r="A13" s="6"/>
      <c r="B13" s="24" t="str">
        <f aca="false">IF(A13="","",IFERROR(INDEX(Empleados!$B$5:$B$64,MATCH(A13,Empleados!$A$5:$A$64,0)),"ID no encontrado"))</f>
        <v/>
      </c>
      <c r="C13" s="13"/>
      <c r="D13" s="13"/>
      <c r="E13" s="22" t="str">
        <f aca="false">IF(OR(C13="",D13=""),"",IF(Parámetros!$B$6="Calendario",D13-C13+1,NETWORKDAYS.INTL(C13,D13,Parámetros!$B$8,Parámetros!$D$12:$D$41)))</f>
        <v/>
      </c>
      <c r="F13" s="18" t="str">
        <f aca="false">IF(D13="","",IF(Parámetros!$B$6="Calendario",D13+1,WORKDAY.INTL(D13,1,Parámetros!$B$8,Parámetros!$D$12:$D$41)))</f>
        <v/>
      </c>
      <c r="G13" s="12"/>
      <c r="H13" s="6"/>
      <c r="I13" s="12"/>
      <c r="J13" s="6"/>
      <c r="K13" s="12"/>
    </row>
    <row r="14" customFormat="false" ht="15" hidden="false" customHeight="false" outlineLevel="0" collapsed="false">
      <c r="A14" s="6"/>
      <c r="B14" s="24" t="str">
        <f aca="false">IF(A14="","",IFERROR(INDEX(Empleados!$B$5:$B$64,MATCH(A14,Empleados!$A$5:$A$64,0)),"ID no encontrado"))</f>
        <v/>
      </c>
      <c r="C14" s="13"/>
      <c r="D14" s="13"/>
      <c r="E14" s="22" t="str">
        <f aca="false">IF(OR(C14="",D14=""),"",IF(Parámetros!$B$6="Calendario",D14-C14+1,NETWORKDAYS.INTL(C14,D14,Parámetros!$B$8,Parámetros!$D$12:$D$41)))</f>
        <v/>
      </c>
      <c r="F14" s="18" t="str">
        <f aca="false">IF(D14="","",IF(Parámetros!$B$6="Calendario",D14+1,WORKDAY.INTL(D14,1,Parámetros!$B$8,Parámetros!$D$12:$D$41)))</f>
        <v/>
      </c>
      <c r="G14" s="12"/>
      <c r="H14" s="6"/>
      <c r="I14" s="12"/>
      <c r="J14" s="6"/>
      <c r="K14" s="12"/>
    </row>
    <row r="15" customFormat="false" ht="15" hidden="false" customHeight="false" outlineLevel="0" collapsed="false">
      <c r="A15" s="6"/>
      <c r="B15" s="24" t="str">
        <f aca="false">IF(A15="","",IFERROR(INDEX(Empleados!$B$5:$B$64,MATCH(A15,Empleados!$A$5:$A$64,0)),"ID no encontrado"))</f>
        <v/>
      </c>
      <c r="C15" s="13"/>
      <c r="D15" s="13"/>
      <c r="E15" s="22" t="str">
        <f aca="false">IF(OR(C15="",D15=""),"",IF(Parámetros!$B$6="Calendario",D15-C15+1,NETWORKDAYS.INTL(C15,D15,Parámetros!$B$8,Parámetros!$D$12:$D$41)))</f>
        <v/>
      </c>
      <c r="F15" s="18" t="str">
        <f aca="false">IF(D15="","",IF(Parámetros!$B$6="Calendario",D15+1,WORKDAY.INTL(D15,1,Parámetros!$B$8,Parámetros!$D$12:$D$41)))</f>
        <v/>
      </c>
      <c r="G15" s="12"/>
      <c r="H15" s="6"/>
      <c r="I15" s="12"/>
      <c r="J15" s="6"/>
      <c r="K15" s="12"/>
    </row>
    <row r="16" customFormat="false" ht="15" hidden="false" customHeight="false" outlineLevel="0" collapsed="false">
      <c r="A16" s="6"/>
      <c r="B16" s="24" t="str">
        <f aca="false">IF(A16="","",IFERROR(INDEX(Empleados!$B$5:$B$64,MATCH(A16,Empleados!$A$5:$A$64,0)),"ID no encontrado"))</f>
        <v/>
      </c>
      <c r="C16" s="13"/>
      <c r="D16" s="13"/>
      <c r="E16" s="22" t="str">
        <f aca="false">IF(OR(C16="",D16=""),"",IF(Parámetros!$B$6="Calendario",D16-C16+1,NETWORKDAYS.INTL(C16,D16,Parámetros!$B$8,Parámetros!$D$12:$D$41)))</f>
        <v/>
      </c>
      <c r="F16" s="18" t="str">
        <f aca="false">IF(D16="","",IF(Parámetros!$B$6="Calendario",D16+1,WORKDAY.INTL(D16,1,Parámetros!$B$8,Parámetros!$D$12:$D$41)))</f>
        <v/>
      </c>
      <c r="G16" s="12"/>
      <c r="H16" s="6"/>
      <c r="I16" s="12"/>
      <c r="J16" s="6"/>
      <c r="K16" s="12"/>
    </row>
    <row r="17" customFormat="false" ht="15" hidden="false" customHeight="false" outlineLevel="0" collapsed="false">
      <c r="A17" s="6"/>
      <c r="B17" s="24" t="str">
        <f aca="false">IF(A17="","",IFERROR(INDEX(Empleados!$B$5:$B$64,MATCH(A17,Empleados!$A$5:$A$64,0)),"ID no encontrado"))</f>
        <v/>
      </c>
      <c r="C17" s="13"/>
      <c r="D17" s="13"/>
      <c r="E17" s="22" t="str">
        <f aca="false">IF(OR(C17="",D17=""),"",IF(Parámetros!$B$6="Calendario",D17-C17+1,NETWORKDAYS.INTL(C17,D17,Parámetros!$B$8,Parámetros!$D$12:$D$41)))</f>
        <v/>
      </c>
      <c r="F17" s="18" t="str">
        <f aca="false">IF(D17="","",IF(Parámetros!$B$6="Calendario",D17+1,WORKDAY.INTL(D17,1,Parámetros!$B$8,Parámetros!$D$12:$D$41)))</f>
        <v/>
      </c>
      <c r="G17" s="12"/>
      <c r="H17" s="6"/>
      <c r="I17" s="12"/>
      <c r="J17" s="6"/>
      <c r="K17" s="12"/>
    </row>
    <row r="18" customFormat="false" ht="15" hidden="false" customHeight="false" outlineLevel="0" collapsed="false">
      <c r="A18" s="6"/>
      <c r="B18" s="24" t="str">
        <f aca="false">IF(A18="","",IFERROR(INDEX(Empleados!$B$5:$B$64,MATCH(A18,Empleados!$A$5:$A$64,0)),"ID no encontrado"))</f>
        <v/>
      </c>
      <c r="C18" s="13"/>
      <c r="D18" s="13"/>
      <c r="E18" s="22" t="str">
        <f aca="false">IF(OR(C18="",D18=""),"",IF(Parámetros!$B$6="Calendario",D18-C18+1,NETWORKDAYS.INTL(C18,D18,Parámetros!$B$8,Parámetros!$D$12:$D$41)))</f>
        <v/>
      </c>
      <c r="F18" s="18" t="str">
        <f aca="false">IF(D18="","",IF(Parámetros!$B$6="Calendario",D18+1,WORKDAY.INTL(D18,1,Parámetros!$B$8,Parámetros!$D$12:$D$41)))</f>
        <v/>
      </c>
      <c r="G18" s="12"/>
      <c r="H18" s="6"/>
      <c r="I18" s="12"/>
      <c r="J18" s="6"/>
      <c r="K18" s="12"/>
    </row>
    <row r="19" customFormat="false" ht="15" hidden="false" customHeight="false" outlineLevel="0" collapsed="false">
      <c r="A19" s="6"/>
      <c r="B19" s="24" t="str">
        <f aca="false">IF(A19="","",IFERROR(INDEX(Empleados!$B$5:$B$64,MATCH(A19,Empleados!$A$5:$A$64,0)),"ID no encontrado"))</f>
        <v/>
      </c>
      <c r="C19" s="13"/>
      <c r="D19" s="13"/>
      <c r="E19" s="22" t="str">
        <f aca="false">IF(OR(C19="",D19=""),"",IF(Parámetros!$B$6="Calendario",D19-C19+1,NETWORKDAYS.INTL(C19,D19,Parámetros!$B$8,Parámetros!$D$12:$D$41)))</f>
        <v/>
      </c>
      <c r="F19" s="18" t="str">
        <f aca="false">IF(D19="","",IF(Parámetros!$B$6="Calendario",D19+1,WORKDAY.INTL(D19,1,Parámetros!$B$8,Parámetros!$D$12:$D$41)))</f>
        <v/>
      </c>
      <c r="G19" s="12"/>
      <c r="H19" s="6"/>
      <c r="I19" s="12"/>
      <c r="J19" s="6"/>
      <c r="K19" s="12"/>
    </row>
    <row r="20" customFormat="false" ht="15" hidden="false" customHeight="false" outlineLevel="0" collapsed="false">
      <c r="A20" s="6"/>
      <c r="B20" s="24" t="str">
        <f aca="false">IF(A20="","",IFERROR(INDEX(Empleados!$B$5:$B$64,MATCH(A20,Empleados!$A$5:$A$64,0)),"ID no encontrado"))</f>
        <v/>
      </c>
      <c r="C20" s="13"/>
      <c r="D20" s="13"/>
      <c r="E20" s="22" t="str">
        <f aca="false">IF(OR(C20="",D20=""),"",IF(Parámetros!$B$6="Calendario",D20-C20+1,NETWORKDAYS.INTL(C20,D20,Parámetros!$B$8,Parámetros!$D$12:$D$41)))</f>
        <v/>
      </c>
      <c r="F20" s="18" t="str">
        <f aca="false">IF(D20="","",IF(Parámetros!$B$6="Calendario",D20+1,WORKDAY.INTL(D20,1,Parámetros!$B$8,Parámetros!$D$12:$D$41)))</f>
        <v/>
      </c>
      <c r="G20" s="12"/>
      <c r="H20" s="6"/>
      <c r="I20" s="12"/>
      <c r="J20" s="6"/>
      <c r="K20" s="12"/>
    </row>
    <row r="21" customFormat="false" ht="15" hidden="false" customHeight="false" outlineLevel="0" collapsed="false">
      <c r="A21" s="6"/>
      <c r="B21" s="24" t="str">
        <f aca="false">IF(A21="","",IFERROR(INDEX(Empleados!$B$5:$B$64,MATCH(A21,Empleados!$A$5:$A$64,0)),"ID no encontrado"))</f>
        <v/>
      </c>
      <c r="C21" s="13"/>
      <c r="D21" s="13"/>
      <c r="E21" s="22" t="str">
        <f aca="false">IF(OR(C21="",D21=""),"",IF(Parámetros!$B$6="Calendario",D21-C21+1,NETWORKDAYS.INTL(C21,D21,Parámetros!$B$8,Parámetros!$D$12:$D$41)))</f>
        <v/>
      </c>
      <c r="F21" s="18" t="str">
        <f aca="false">IF(D21="","",IF(Parámetros!$B$6="Calendario",D21+1,WORKDAY.INTL(D21,1,Parámetros!$B$8,Parámetros!$D$12:$D$41)))</f>
        <v/>
      </c>
      <c r="G21" s="12"/>
      <c r="H21" s="6"/>
      <c r="I21" s="12"/>
      <c r="J21" s="6"/>
      <c r="K21" s="12"/>
    </row>
    <row r="22" customFormat="false" ht="15" hidden="false" customHeight="false" outlineLevel="0" collapsed="false">
      <c r="A22" s="6"/>
      <c r="B22" s="24" t="str">
        <f aca="false">IF(A22="","",IFERROR(INDEX(Empleados!$B$5:$B$64,MATCH(A22,Empleados!$A$5:$A$64,0)),"ID no encontrado"))</f>
        <v/>
      </c>
      <c r="C22" s="13"/>
      <c r="D22" s="13"/>
      <c r="E22" s="22" t="str">
        <f aca="false">IF(OR(C22="",D22=""),"",IF(Parámetros!$B$6="Calendario",D22-C22+1,NETWORKDAYS.INTL(C22,D22,Parámetros!$B$8,Parámetros!$D$12:$D$41)))</f>
        <v/>
      </c>
      <c r="F22" s="18" t="str">
        <f aca="false">IF(D22="","",IF(Parámetros!$B$6="Calendario",D22+1,WORKDAY.INTL(D22,1,Parámetros!$B$8,Parámetros!$D$12:$D$41)))</f>
        <v/>
      </c>
      <c r="G22" s="12"/>
      <c r="H22" s="6"/>
      <c r="I22" s="12"/>
      <c r="J22" s="6"/>
      <c r="K22" s="12"/>
    </row>
    <row r="23" customFormat="false" ht="15" hidden="false" customHeight="false" outlineLevel="0" collapsed="false">
      <c r="A23" s="6"/>
      <c r="B23" s="24" t="str">
        <f aca="false">IF(A23="","",IFERROR(INDEX(Empleados!$B$5:$B$64,MATCH(A23,Empleados!$A$5:$A$64,0)),"ID no encontrado"))</f>
        <v/>
      </c>
      <c r="C23" s="13"/>
      <c r="D23" s="13"/>
      <c r="E23" s="22" t="str">
        <f aca="false">IF(OR(C23="",D23=""),"",IF(Parámetros!$B$6="Calendario",D23-C23+1,NETWORKDAYS.INTL(C23,D23,Parámetros!$B$8,Parámetros!$D$12:$D$41)))</f>
        <v/>
      </c>
      <c r="F23" s="18" t="str">
        <f aca="false">IF(D23="","",IF(Parámetros!$B$6="Calendario",D23+1,WORKDAY.INTL(D23,1,Parámetros!$B$8,Parámetros!$D$12:$D$41)))</f>
        <v/>
      </c>
      <c r="G23" s="12"/>
      <c r="H23" s="6"/>
      <c r="I23" s="12"/>
      <c r="J23" s="6"/>
      <c r="K23" s="12"/>
    </row>
    <row r="24" customFormat="false" ht="15" hidden="false" customHeight="false" outlineLevel="0" collapsed="false">
      <c r="A24" s="6"/>
      <c r="B24" s="24" t="str">
        <f aca="false">IF(A24="","",IFERROR(INDEX(Empleados!$B$5:$B$64,MATCH(A24,Empleados!$A$5:$A$64,0)),"ID no encontrado"))</f>
        <v/>
      </c>
      <c r="C24" s="13"/>
      <c r="D24" s="13"/>
      <c r="E24" s="22" t="str">
        <f aca="false">IF(OR(C24="",D24=""),"",IF(Parámetros!$B$6="Calendario",D24-C24+1,NETWORKDAYS.INTL(C24,D24,Parámetros!$B$8,Parámetros!$D$12:$D$41)))</f>
        <v/>
      </c>
      <c r="F24" s="18" t="str">
        <f aca="false">IF(D24="","",IF(Parámetros!$B$6="Calendario",D24+1,WORKDAY.INTL(D24,1,Parámetros!$B$8,Parámetros!$D$12:$D$41)))</f>
        <v/>
      </c>
      <c r="G24" s="12"/>
      <c r="H24" s="6"/>
      <c r="I24" s="12"/>
      <c r="J24" s="6"/>
      <c r="K24" s="12"/>
    </row>
    <row r="25" customFormat="false" ht="15" hidden="false" customHeight="false" outlineLevel="0" collapsed="false">
      <c r="A25" s="6"/>
      <c r="B25" s="24" t="str">
        <f aca="false">IF(A25="","",IFERROR(INDEX(Empleados!$B$5:$B$64,MATCH(A25,Empleados!$A$5:$A$64,0)),"ID no encontrado"))</f>
        <v/>
      </c>
      <c r="C25" s="13"/>
      <c r="D25" s="13"/>
      <c r="E25" s="22" t="str">
        <f aca="false">IF(OR(C25="",D25=""),"",IF(Parámetros!$B$6="Calendario",D25-C25+1,NETWORKDAYS.INTL(C25,D25,Parámetros!$B$8,Parámetros!$D$12:$D$41)))</f>
        <v/>
      </c>
      <c r="F25" s="18" t="str">
        <f aca="false">IF(D25="","",IF(Parámetros!$B$6="Calendario",D25+1,WORKDAY.INTL(D25,1,Parámetros!$B$8,Parámetros!$D$12:$D$41)))</f>
        <v/>
      </c>
      <c r="G25" s="12"/>
      <c r="H25" s="6"/>
      <c r="I25" s="12"/>
      <c r="J25" s="6"/>
      <c r="K25" s="12"/>
    </row>
    <row r="26" customFormat="false" ht="15" hidden="false" customHeight="false" outlineLevel="0" collapsed="false">
      <c r="A26" s="6"/>
      <c r="B26" s="24" t="str">
        <f aca="false">IF(A26="","",IFERROR(INDEX(Empleados!$B$5:$B$64,MATCH(A26,Empleados!$A$5:$A$64,0)),"ID no encontrado"))</f>
        <v/>
      </c>
      <c r="C26" s="13"/>
      <c r="D26" s="13"/>
      <c r="E26" s="22" t="str">
        <f aca="false">IF(OR(C26="",D26=""),"",IF(Parámetros!$B$6="Calendario",D26-C26+1,NETWORKDAYS.INTL(C26,D26,Parámetros!$B$8,Parámetros!$D$12:$D$41)))</f>
        <v/>
      </c>
      <c r="F26" s="18" t="str">
        <f aca="false">IF(D26="","",IF(Parámetros!$B$6="Calendario",D26+1,WORKDAY.INTL(D26,1,Parámetros!$B$8,Parámetros!$D$12:$D$41)))</f>
        <v/>
      </c>
      <c r="G26" s="12"/>
      <c r="H26" s="6"/>
      <c r="I26" s="12"/>
      <c r="J26" s="6"/>
      <c r="K26" s="12"/>
    </row>
    <row r="27" customFormat="false" ht="15" hidden="false" customHeight="false" outlineLevel="0" collapsed="false">
      <c r="A27" s="6"/>
      <c r="B27" s="24" t="str">
        <f aca="false">IF(A27="","",IFERROR(INDEX(Empleados!$B$5:$B$64,MATCH(A27,Empleados!$A$5:$A$64,0)),"ID no encontrado"))</f>
        <v/>
      </c>
      <c r="C27" s="13"/>
      <c r="D27" s="13"/>
      <c r="E27" s="22" t="str">
        <f aca="false">IF(OR(C27="",D27=""),"",IF(Parámetros!$B$6="Calendario",D27-C27+1,NETWORKDAYS.INTL(C27,D27,Parámetros!$B$8,Parámetros!$D$12:$D$41)))</f>
        <v/>
      </c>
      <c r="F27" s="18" t="str">
        <f aca="false">IF(D27="","",IF(Parámetros!$B$6="Calendario",D27+1,WORKDAY.INTL(D27,1,Parámetros!$B$8,Parámetros!$D$12:$D$41)))</f>
        <v/>
      </c>
      <c r="G27" s="12"/>
      <c r="H27" s="6"/>
      <c r="I27" s="12"/>
      <c r="J27" s="6"/>
      <c r="K27" s="12"/>
    </row>
    <row r="28" customFormat="false" ht="15" hidden="false" customHeight="false" outlineLevel="0" collapsed="false">
      <c r="A28" s="6"/>
      <c r="B28" s="24" t="str">
        <f aca="false">IF(A28="","",IFERROR(INDEX(Empleados!$B$5:$B$64,MATCH(A28,Empleados!$A$5:$A$64,0)),"ID no encontrado"))</f>
        <v/>
      </c>
      <c r="C28" s="13"/>
      <c r="D28" s="13"/>
      <c r="E28" s="22" t="str">
        <f aca="false">IF(OR(C28="",D28=""),"",IF(Parámetros!$B$6="Calendario",D28-C28+1,NETWORKDAYS.INTL(C28,D28,Parámetros!$B$8,Parámetros!$D$12:$D$41)))</f>
        <v/>
      </c>
      <c r="F28" s="18" t="str">
        <f aca="false">IF(D28="","",IF(Parámetros!$B$6="Calendario",D28+1,WORKDAY.INTL(D28,1,Parámetros!$B$8,Parámetros!$D$12:$D$41)))</f>
        <v/>
      </c>
      <c r="G28" s="12"/>
      <c r="H28" s="6"/>
      <c r="I28" s="12"/>
      <c r="J28" s="6"/>
      <c r="K28" s="12"/>
    </row>
    <row r="29" customFormat="false" ht="15" hidden="false" customHeight="false" outlineLevel="0" collapsed="false">
      <c r="A29" s="6"/>
      <c r="B29" s="24" t="str">
        <f aca="false">IF(A29="","",IFERROR(INDEX(Empleados!$B$5:$B$64,MATCH(A29,Empleados!$A$5:$A$64,0)),"ID no encontrado"))</f>
        <v/>
      </c>
      <c r="C29" s="13"/>
      <c r="D29" s="13"/>
      <c r="E29" s="22" t="str">
        <f aca="false">IF(OR(C29="",D29=""),"",IF(Parámetros!$B$6="Calendario",D29-C29+1,NETWORKDAYS.INTL(C29,D29,Parámetros!$B$8,Parámetros!$D$12:$D$41)))</f>
        <v/>
      </c>
      <c r="F29" s="18" t="str">
        <f aca="false">IF(D29="","",IF(Parámetros!$B$6="Calendario",D29+1,WORKDAY.INTL(D29,1,Parámetros!$B$8,Parámetros!$D$12:$D$41)))</f>
        <v/>
      </c>
      <c r="G29" s="12"/>
      <c r="H29" s="6"/>
      <c r="I29" s="12"/>
      <c r="J29" s="6"/>
      <c r="K29" s="12"/>
    </row>
    <row r="30" customFormat="false" ht="15" hidden="false" customHeight="false" outlineLevel="0" collapsed="false">
      <c r="A30" s="6"/>
      <c r="B30" s="24" t="str">
        <f aca="false">IF(A30="","",IFERROR(INDEX(Empleados!$B$5:$B$64,MATCH(A30,Empleados!$A$5:$A$64,0)),"ID no encontrado"))</f>
        <v/>
      </c>
      <c r="C30" s="13"/>
      <c r="D30" s="13"/>
      <c r="E30" s="22" t="str">
        <f aca="false">IF(OR(C30="",D30=""),"",IF(Parámetros!$B$6="Calendario",D30-C30+1,NETWORKDAYS.INTL(C30,D30,Parámetros!$B$8,Parámetros!$D$12:$D$41)))</f>
        <v/>
      </c>
      <c r="F30" s="18" t="str">
        <f aca="false">IF(D30="","",IF(Parámetros!$B$6="Calendario",D30+1,WORKDAY.INTL(D30,1,Parámetros!$B$8,Parámetros!$D$12:$D$41)))</f>
        <v/>
      </c>
      <c r="G30" s="12"/>
      <c r="H30" s="6"/>
      <c r="I30" s="12"/>
      <c r="J30" s="6"/>
      <c r="K30" s="12"/>
    </row>
    <row r="31" customFormat="false" ht="15" hidden="false" customHeight="false" outlineLevel="0" collapsed="false">
      <c r="A31" s="6"/>
      <c r="B31" s="24" t="str">
        <f aca="false">IF(A31="","",IFERROR(INDEX(Empleados!$B$5:$B$64,MATCH(A31,Empleados!$A$5:$A$64,0)),"ID no encontrado"))</f>
        <v/>
      </c>
      <c r="C31" s="13"/>
      <c r="D31" s="13"/>
      <c r="E31" s="22" t="str">
        <f aca="false">IF(OR(C31="",D31=""),"",IF(Parámetros!$B$6="Calendario",D31-C31+1,NETWORKDAYS.INTL(C31,D31,Parámetros!$B$8,Parámetros!$D$12:$D$41)))</f>
        <v/>
      </c>
      <c r="F31" s="18" t="str">
        <f aca="false">IF(D31="","",IF(Parámetros!$B$6="Calendario",D31+1,WORKDAY.INTL(D31,1,Parámetros!$B$8,Parámetros!$D$12:$D$41)))</f>
        <v/>
      </c>
      <c r="G31" s="12"/>
      <c r="H31" s="6"/>
      <c r="I31" s="12"/>
      <c r="J31" s="6"/>
      <c r="K31" s="12"/>
    </row>
    <row r="32" customFormat="false" ht="15" hidden="false" customHeight="false" outlineLevel="0" collapsed="false">
      <c r="A32" s="6"/>
      <c r="B32" s="24" t="str">
        <f aca="false">IF(A32="","",IFERROR(INDEX(Empleados!$B$5:$B$64,MATCH(A32,Empleados!$A$5:$A$64,0)),"ID no encontrado"))</f>
        <v/>
      </c>
      <c r="C32" s="13"/>
      <c r="D32" s="13"/>
      <c r="E32" s="22" t="str">
        <f aca="false">IF(OR(C32="",D32=""),"",IF(Parámetros!$B$6="Calendario",D32-C32+1,NETWORKDAYS.INTL(C32,D32,Parámetros!$B$8,Parámetros!$D$12:$D$41)))</f>
        <v/>
      </c>
      <c r="F32" s="18" t="str">
        <f aca="false">IF(D32="","",IF(Parámetros!$B$6="Calendario",D32+1,WORKDAY.INTL(D32,1,Parámetros!$B$8,Parámetros!$D$12:$D$41)))</f>
        <v/>
      </c>
      <c r="G32" s="12"/>
      <c r="H32" s="6"/>
      <c r="I32" s="12"/>
      <c r="J32" s="6"/>
      <c r="K32" s="12"/>
    </row>
    <row r="33" customFormat="false" ht="15" hidden="false" customHeight="false" outlineLevel="0" collapsed="false">
      <c r="A33" s="6"/>
      <c r="B33" s="24" t="str">
        <f aca="false">IF(A33="","",IFERROR(INDEX(Empleados!$B$5:$B$64,MATCH(A33,Empleados!$A$5:$A$64,0)),"ID no encontrado"))</f>
        <v/>
      </c>
      <c r="C33" s="13"/>
      <c r="D33" s="13"/>
      <c r="E33" s="22" t="str">
        <f aca="false">IF(OR(C33="",D33=""),"",IF(Parámetros!$B$6="Calendario",D33-C33+1,NETWORKDAYS.INTL(C33,D33,Parámetros!$B$8,Parámetros!$D$12:$D$41)))</f>
        <v/>
      </c>
      <c r="F33" s="18" t="str">
        <f aca="false">IF(D33="","",IF(Parámetros!$B$6="Calendario",D33+1,WORKDAY.INTL(D33,1,Parámetros!$B$8,Parámetros!$D$12:$D$41)))</f>
        <v/>
      </c>
      <c r="G33" s="12"/>
      <c r="H33" s="6"/>
      <c r="I33" s="12"/>
      <c r="J33" s="6"/>
      <c r="K33" s="12"/>
    </row>
    <row r="34" customFormat="false" ht="15" hidden="false" customHeight="false" outlineLevel="0" collapsed="false">
      <c r="A34" s="6"/>
      <c r="B34" s="24" t="str">
        <f aca="false">IF(A34="","",IFERROR(INDEX(Empleados!$B$5:$B$64,MATCH(A34,Empleados!$A$5:$A$64,0)),"ID no encontrado"))</f>
        <v/>
      </c>
      <c r="C34" s="13"/>
      <c r="D34" s="13"/>
      <c r="E34" s="22" t="str">
        <f aca="false">IF(OR(C34="",D34=""),"",IF(Parámetros!$B$6="Calendario",D34-C34+1,NETWORKDAYS.INTL(C34,D34,Parámetros!$B$8,Parámetros!$D$12:$D$41)))</f>
        <v/>
      </c>
      <c r="F34" s="18" t="str">
        <f aca="false">IF(D34="","",IF(Parámetros!$B$6="Calendario",D34+1,WORKDAY.INTL(D34,1,Parámetros!$B$8,Parámetros!$D$12:$D$41)))</f>
        <v/>
      </c>
      <c r="G34" s="12"/>
      <c r="H34" s="6"/>
      <c r="I34" s="12"/>
      <c r="J34" s="6"/>
      <c r="K34" s="12"/>
    </row>
    <row r="35" customFormat="false" ht="15" hidden="false" customHeight="false" outlineLevel="0" collapsed="false">
      <c r="A35" s="6"/>
      <c r="B35" s="24" t="str">
        <f aca="false">IF(A35="","",IFERROR(INDEX(Empleados!$B$5:$B$64,MATCH(A35,Empleados!$A$5:$A$64,0)),"ID no encontrado"))</f>
        <v/>
      </c>
      <c r="C35" s="13"/>
      <c r="D35" s="13"/>
      <c r="E35" s="22" t="str">
        <f aca="false">IF(OR(C35="",D35=""),"",IF(Parámetros!$B$6="Calendario",D35-C35+1,NETWORKDAYS.INTL(C35,D35,Parámetros!$B$8,Parámetros!$D$12:$D$41)))</f>
        <v/>
      </c>
      <c r="F35" s="18" t="str">
        <f aca="false">IF(D35="","",IF(Parámetros!$B$6="Calendario",D35+1,WORKDAY.INTL(D35,1,Parámetros!$B$8,Parámetros!$D$12:$D$41)))</f>
        <v/>
      </c>
      <c r="G35" s="12"/>
      <c r="H35" s="6"/>
      <c r="I35" s="12"/>
      <c r="J35" s="6"/>
      <c r="K35" s="12"/>
    </row>
    <row r="36" customFormat="false" ht="15" hidden="false" customHeight="false" outlineLevel="0" collapsed="false">
      <c r="A36" s="6"/>
      <c r="B36" s="24" t="str">
        <f aca="false">IF(A36="","",IFERROR(INDEX(Empleados!$B$5:$B$64,MATCH(A36,Empleados!$A$5:$A$64,0)),"ID no encontrado"))</f>
        <v/>
      </c>
      <c r="C36" s="13"/>
      <c r="D36" s="13"/>
      <c r="E36" s="22" t="str">
        <f aca="false">IF(OR(C36="",D36=""),"",IF(Parámetros!$B$6="Calendario",D36-C36+1,NETWORKDAYS.INTL(C36,D36,Parámetros!$B$8,Parámetros!$D$12:$D$41)))</f>
        <v/>
      </c>
      <c r="F36" s="18" t="str">
        <f aca="false">IF(D36="","",IF(Parámetros!$B$6="Calendario",D36+1,WORKDAY.INTL(D36,1,Parámetros!$B$8,Parámetros!$D$12:$D$41)))</f>
        <v/>
      </c>
      <c r="G36" s="12"/>
      <c r="H36" s="6"/>
      <c r="I36" s="12"/>
      <c r="J36" s="6"/>
      <c r="K36" s="12"/>
    </row>
    <row r="37" customFormat="false" ht="15" hidden="false" customHeight="false" outlineLevel="0" collapsed="false">
      <c r="A37" s="6"/>
      <c r="B37" s="24" t="str">
        <f aca="false">IF(A37="","",IFERROR(INDEX(Empleados!$B$5:$B$64,MATCH(A37,Empleados!$A$5:$A$64,0)),"ID no encontrado"))</f>
        <v/>
      </c>
      <c r="C37" s="13"/>
      <c r="D37" s="13"/>
      <c r="E37" s="22" t="str">
        <f aca="false">IF(OR(C37="",D37=""),"",IF(Parámetros!$B$6="Calendario",D37-C37+1,NETWORKDAYS.INTL(C37,D37,Parámetros!$B$8,Parámetros!$D$12:$D$41)))</f>
        <v/>
      </c>
      <c r="F37" s="18" t="str">
        <f aca="false">IF(D37="","",IF(Parámetros!$B$6="Calendario",D37+1,WORKDAY.INTL(D37,1,Parámetros!$B$8,Parámetros!$D$12:$D$41)))</f>
        <v/>
      </c>
      <c r="G37" s="12"/>
      <c r="H37" s="6"/>
      <c r="I37" s="12"/>
      <c r="J37" s="6"/>
      <c r="K37" s="12"/>
    </row>
    <row r="38" customFormat="false" ht="15" hidden="false" customHeight="false" outlineLevel="0" collapsed="false">
      <c r="A38" s="6"/>
      <c r="B38" s="24" t="str">
        <f aca="false">IF(A38="","",IFERROR(INDEX(Empleados!$B$5:$B$64,MATCH(A38,Empleados!$A$5:$A$64,0)),"ID no encontrado"))</f>
        <v/>
      </c>
      <c r="C38" s="13"/>
      <c r="D38" s="13"/>
      <c r="E38" s="22" t="str">
        <f aca="false">IF(OR(C38="",D38=""),"",IF(Parámetros!$B$6="Calendario",D38-C38+1,NETWORKDAYS.INTL(C38,D38,Parámetros!$B$8,Parámetros!$D$12:$D$41)))</f>
        <v/>
      </c>
      <c r="F38" s="18" t="str">
        <f aca="false">IF(D38="","",IF(Parámetros!$B$6="Calendario",D38+1,WORKDAY.INTL(D38,1,Parámetros!$B$8,Parámetros!$D$12:$D$41)))</f>
        <v/>
      </c>
      <c r="G38" s="12"/>
      <c r="H38" s="6"/>
      <c r="I38" s="12"/>
      <c r="J38" s="6"/>
      <c r="K38" s="12"/>
    </row>
    <row r="39" customFormat="false" ht="15" hidden="false" customHeight="false" outlineLevel="0" collapsed="false">
      <c r="A39" s="6"/>
      <c r="B39" s="24" t="str">
        <f aca="false">IF(A39="","",IFERROR(INDEX(Empleados!$B$5:$B$64,MATCH(A39,Empleados!$A$5:$A$64,0)),"ID no encontrado"))</f>
        <v/>
      </c>
      <c r="C39" s="13"/>
      <c r="D39" s="13"/>
      <c r="E39" s="22" t="str">
        <f aca="false">IF(OR(C39="",D39=""),"",IF(Parámetros!$B$6="Calendario",D39-C39+1,NETWORKDAYS.INTL(C39,D39,Parámetros!$B$8,Parámetros!$D$12:$D$41)))</f>
        <v/>
      </c>
      <c r="F39" s="18" t="str">
        <f aca="false">IF(D39="","",IF(Parámetros!$B$6="Calendario",D39+1,WORKDAY.INTL(D39,1,Parámetros!$B$8,Parámetros!$D$12:$D$41)))</f>
        <v/>
      </c>
      <c r="G39" s="12"/>
      <c r="H39" s="6"/>
      <c r="I39" s="12"/>
      <c r="J39" s="6"/>
      <c r="K39" s="12"/>
    </row>
    <row r="40" customFormat="false" ht="15" hidden="false" customHeight="false" outlineLevel="0" collapsed="false">
      <c r="A40" s="6"/>
      <c r="B40" s="24" t="str">
        <f aca="false">IF(A40="","",IFERROR(INDEX(Empleados!$B$5:$B$64,MATCH(A40,Empleados!$A$5:$A$64,0)),"ID no encontrado"))</f>
        <v/>
      </c>
      <c r="C40" s="13"/>
      <c r="D40" s="13"/>
      <c r="E40" s="22" t="str">
        <f aca="false">IF(OR(C40="",D40=""),"",IF(Parámetros!$B$6="Calendario",D40-C40+1,NETWORKDAYS.INTL(C40,D40,Parámetros!$B$8,Parámetros!$D$12:$D$41)))</f>
        <v/>
      </c>
      <c r="F40" s="18" t="str">
        <f aca="false">IF(D40="","",IF(Parámetros!$B$6="Calendario",D40+1,WORKDAY.INTL(D40,1,Parámetros!$B$8,Parámetros!$D$12:$D$41)))</f>
        <v/>
      </c>
      <c r="G40" s="12"/>
      <c r="H40" s="6"/>
      <c r="I40" s="12"/>
      <c r="J40" s="6"/>
      <c r="K40" s="12"/>
    </row>
    <row r="41" customFormat="false" ht="15" hidden="false" customHeight="false" outlineLevel="0" collapsed="false">
      <c r="A41" s="6"/>
      <c r="B41" s="24" t="str">
        <f aca="false">IF(A41="","",IFERROR(INDEX(Empleados!$B$5:$B$64,MATCH(A41,Empleados!$A$5:$A$64,0)),"ID no encontrado"))</f>
        <v/>
      </c>
      <c r="C41" s="13"/>
      <c r="D41" s="13"/>
      <c r="E41" s="22" t="str">
        <f aca="false">IF(OR(C41="",D41=""),"",IF(Parámetros!$B$6="Calendario",D41-C41+1,NETWORKDAYS.INTL(C41,D41,Parámetros!$B$8,Parámetros!$D$12:$D$41)))</f>
        <v/>
      </c>
      <c r="F41" s="18" t="str">
        <f aca="false">IF(D41="","",IF(Parámetros!$B$6="Calendario",D41+1,WORKDAY.INTL(D41,1,Parámetros!$B$8,Parámetros!$D$12:$D$41)))</f>
        <v/>
      </c>
      <c r="G41" s="12"/>
      <c r="H41" s="6"/>
      <c r="I41" s="12"/>
      <c r="J41" s="6"/>
      <c r="K41" s="12"/>
    </row>
    <row r="42" customFormat="false" ht="15" hidden="false" customHeight="false" outlineLevel="0" collapsed="false">
      <c r="A42" s="6"/>
      <c r="B42" s="24" t="str">
        <f aca="false">IF(A42="","",IFERROR(INDEX(Empleados!$B$5:$B$64,MATCH(A42,Empleados!$A$5:$A$64,0)),"ID no encontrado"))</f>
        <v/>
      </c>
      <c r="C42" s="13"/>
      <c r="D42" s="13"/>
      <c r="E42" s="22" t="str">
        <f aca="false">IF(OR(C42="",D42=""),"",IF(Parámetros!$B$6="Calendario",D42-C42+1,NETWORKDAYS.INTL(C42,D42,Parámetros!$B$8,Parámetros!$D$12:$D$41)))</f>
        <v/>
      </c>
      <c r="F42" s="18" t="str">
        <f aca="false">IF(D42="","",IF(Parámetros!$B$6="Calendario",D42+1,WORKDAY.INTL(D42,1,Parámetros!$B$8,Parámetros!$D$12:$D$41)))</f>
        <v/>
      </c>
      <c r="G42" s="12"/>
      <c r="H42" s="6"/>
      <c r="I42" s="12"/>
      <c r="J42" s="6"/>
      <c r="K42" s="12"/>
    </row>
    <row r="43" customFormat="false" ht="15" hidden="false" customHeight="false" outlineLevel="0" collapsed="false">
      <c r="A43" s="6"/>
      <c r="B43" s="24" t="str">
        <f aca="false">IF(A43="","",IFERROR(INDEX(Empleados!$B$5:$B$64,MATCH(A43,Empleados!$A$5:$A$64,0)),"ID no encontrado"))</f>
        <v/>
      </c>
      <c r="C43" s="13"/>
      <c r="D43" s="13"/>
      <c r="E43" s="22" t="str">
        <f aca="false">IF(OR(C43="",D43=""),"",IF(Parámetros!$B$6="Calendario",D43-C43+1,NETWORKDAYS.INTL(C43,D43,Parámetros!$B$8,Parámetros!$D$12:$D$41)))</f>
        <v/>
      </c>
      <c r="F43" s="18" t="str">
        <f aca="false">IF(D43="","",IF(Parámetros!$B$6="Calendario",D43+1,WORKDAY.INTL(D43,1,Parámetros!$B$8,Parámetros!$D$12:$D$41)))</f>
        <v/>
      </c>
      <c r="G43" s="12"/>
      <c r="H43" s="6"/>
      <c r="I43" s="12"/>
      <c r="J43" s="6"/>
      <c r="K43" s="12"/>
    </row>
    <row r="44" customFormat="false" ht="15" hidden="false" customHeight="false" outlineLevel="0" collapsed="false">
      <c r="A44" s="6"/>
      <c r="B44" s="24" t="str">
        <f aca="false">IF(A44="","",IFERROR(INDEX(Empleados!$B$5:$B$64,MATCH(A44,Empleados!$A$5:$A$64,0)),"ID no encontrado"))</f>
        <v/>
      </c>
      <c r="C44" s="13"/>
      <c r="D44" s="13"/>
      <c r="E44" s="22" t="str">
        <f aca="false">IF(OR(C44="",D44=""),"",IF(Parámetros!$B$6="Calendario",D44-C44+1,NETWORKDAYS.INTL(C44,D44,Parámetros!$B$8,Parámetros!$D$12:$D$41)))</f>
        <v/>
      </c>
      <c r="F44" s="18" t="str">
        <f aca="false">IF(D44="","",IF(Parámetros!$B$6="Calendario",D44+1,WORKDAY.INTL(D44,1,Parámetros!$B$8,Parámetros!$D$12:$D$41)))</f>
        <v/>
      </c>
      <c r="G44" s="12"/>
      <c r="H44" s="6"/>
      <c r="I44" s="12"/>
      <c r="J44" s="6"/>
      <c r="K44" s="12"/>
    </row>
    <row r="45" customFormat="false" ht="15" hidden="false" customHeight="false" outlineLevel="0" collapsed="false">
      <c r="A45" s="6"/>
      <c r="B45" s="24" t="str">
        <f aca="false">IF(A45="","",IFERROR(INDEX(Empleados!$B$5:$B$64,MATCH(A45,Empleados!$A$5:$A$64,0)),"ID no encontrado"))</f>
        <v/>
      </c>
      <c r="C45" s="13"/>
      <c r="D45" s="13"/>
      <c r="E45" s="22" t="str">
        <f aca="false">IF(OR(C45="",D45=""),"",IF(Parámetros!$B$6="Calendario",D45-C45+1,NETWORKDAYS.INTL(C45,D45,Parámetros!$B$8,Parámetros!$D$12:$D$41)))</f>
        <v/>
      </c>
      <c r="F45" s="18" t="str">
        <f aca="false">IF(D45="","",IF(Parámetros!$B$6="Calendario",D45+1,WORKDAY.INTL(D45,1,Parámetros!$B$8,Parámetros!$D$12:$D$41)))</f>
        <v/>
      </c>
      <c r="G45" s="12"/>
      <c r="H45" s="6"/>
      <c r="I45" s="12"/>
      <c r="J45" s="6"/>
      <c r="K45" s="12"/>
    </row>
    <row r="46" customFormat="false" ht="15" hidden="false" customHeight="false" outlineLevel="0" collapsed="false">
      <c r="A46" s="6"/>
      <c r="B46" s="24" t="str">
        <f aca="false">IF(A46="","",IFERROR(INDEX(Empleados!$B$5:$B$64,MATCH(A46,Empleados!$A$5:$A$64,0)),"ID no encontrado"))</f>
        <v/>
      </c>
      <c r="C46" s="13"/>
      <c r="D46" s="13"/>
      <c r="E46" s="22" t="str">
        <f aca="false">IF(OR(C46="",D46=""),"",IF(Parámetros!$B$6="Calendario",D46-C46+1,NETWORKDAYS.INTL(C46,D46,Parámetros!$B$8,Parámetros!$D$12:$D$41)))</f>
        <v/>
      </c>
      <c r="F46" s="18" t="str">
        <f aca="false">IF(D46="","",IF(Parámetros!$B$6="Calendario",D46+1,WORKDAY.INTL(D46,1,Parámetros!$B$8,Parámetros!$D$12:$D$41)))</f>
        <v/>
      </c>
      <c r="G46" s="12"/>
      <c r="H46" s="6"/>
      <c r="I46" s="12"/>
      <c r="J46" s="6"/>
      <c r="K46" s="12"/>
    </row>
    <row r="47" customFormat="false" ht="15" hidden="false" customHeight="false" outlineLevel="0" collapsed="false">
      <c r="A47" s="6"/>
      <c r="B47" s="24" t="str">
        <f aca="false">IF(A47="","",IFERROR(INDEX(Empleados!$B$5:$B$64,MATCH(A47,Empleados!$A$5:$A$64,0)),"ID no encontrado"))</f>
        <v/>
      </c>
      <c r="C47" s="13"/>
      <c r="D47" s="13"/>
      <c r="E47" s="22" t="str">
        <f aca="false">IF(OR(C47="",D47=""),"",IF(Parámetros!$B$6="Calendario",D47-C47+1,NETWORKDAYS.INTL(C47,D47,Parámetros!$B$8,Parámetros!$D$12:$D$41)))</f>
        <v/>
      </c>
      <c r="F47" s="18" t="str">
        <f aca="false">IF(D47="","",IF(Parámetros!$B$6="Calendario",D47+1,WORKDAY.INTL(D47,1,Parámetros!$B$8,Parámetros!$D$12:$D$41)))</f>
        <v/>
      </c>
      <c r="G47" s="12"/>
      <c r="H47" s="6"/>
      <c r="I47" s="12"/>
      <c r="J47" s="6"/>
      <c r="K47" s="12"/>
    </row>
    <row r="48" customFormat="false" ht="15" hidden="false" customHeight="false" outlineLevel="0" collapsed="false">
      <c r="A48" s="6"/>
      <c r="B48" s="24" t="str">
        <f aca="false">IF(A48="","",IFERROR(INDEX(Empleados!$B$5:$B$64,MATCH(A48,Empleados!$A$5:$A$64,0)),"ID no encontrado"))</f>
        <v/>
      </c>
      <c r="C48" s="13"/>
      <c r="D48" s="13"/>
      <c r="E48" s="22" t="str">
        <f aca="false">IF(OR(C48="",D48=""),"",IF(Parámetros!$B$6="Calendario",D48-C48+1,NETWORKDAYS.INTL(C48,D48,Parámetros!$B$8,Parámetros!$D$12:$D$41)))</f>
        <v/>
      </c>
      <c r="F48" s="18" t="str">
        <f aca="false">IF(D48="","",IF(Parámetros!$B$6="Calendario",D48+1,WORKDAY.INTL(D48,1,Parámetros!$B$8,Parámetros!$D$12:$D$41)))</f>
        <v/>
      </c>
      <c r="G48" s="12"/>
      <c r="H48" s="6"/>
      <c r="I48" s="12"/>
      <c r="J48" s="6"/>
      <c r="K48" s="12"/>
    </row>
    <row r="49" customFormat="false" ht="15" hidden="false" customHeight="false" outlineLevel="0" collapsed="false">
      <c r="A49" s="6"/>
      <c r="B49" s="24" t="str">
        <f aca="false">IF(A49="","",IFERROR(INDEX(Empleados!$B$5:$B$64,MATCH(A49,Empleados!$A$5:$A$64,0)),"ID no encontrado"))</f>
        <v/>
      </c>
      <c r="C49" s="13"/>
      <c r="D49" s="13"/>
      <c r="E49" s="22" t="str">
        <f aca="false">IF(OR(C49="",D49=""),"",IF(Parámetros!$B$6="Calendario",D49-C49+1,NETWORKDAYS.INTL(C49,D49,Parámetros!$B$8,Parámetros!$D$12:$D$41)))</f>
        <v/>
      </c>
      <c r="F49" s="18" t="str">
        <f aca="false">IF(D49="","",IF(Parámetros!$B$6="Calendario",D49+1,WORKDAY.INTL(D49,1,Parámetros!$B$8,Parámetros!$D$12:$D$41)))</f>
        <v/>
      </c>
      <c r="G49" s="12"/>
      <c r="H49" s="6"/>
      <c r="I49" s="12"/>
      <c r="J49" s="6"/>
      <c r="K49" s="12"/>
    </row>
    <row r="50" customFormat="false" ht="15" hidden="false" customHeight="false" outlineLevel="0" collapsed="false">
      <c r="A50" s="6"/>
      <c r="B50" s="24" t="str">
        <f aca="false">IF(A50="","",IFERROR(INDEX(Empleados!$B$5:$B$64,MATCH(A50,Empleados!$A$5:$A$64,0)),"ID no encontrado"))</f>
        <v/>
      </c>
      <c r="C50" s="13"/>
      <c r="D50" s="13"/>
      <c r="E50" s="22" t="str">
        <f aca="false">IF(OR(C50="",D50=""),"",IF(Parámetros!$B$6="Calendario",D50-C50+1,NETWORKDAYS.INTL(C50,D50,Parámetros!$B$8,Parámetros!$D$12:$D$41)))</f>
        <v/>
      </c>
      <c r="F50" s="18" t="str">
        <f aca="false">IF(D50="","",IF(Parámetros!$B$6="Calendario",D50+1,WORKDAY.INTL(D50,1,Parámetros!$B$8,Parámetros!$D$12:$D$41)))</f>
        <v/>
      </c>
      <c r="G50" s="12"/>
      <c r="H50" s="6"/>
      <c r="I50" s="12"/>
      <c r="J50" s="6"/>
      <c r="K50" s="12"/>
    </row>
    <row r="51" customFormat="false" ht="15" hidden="false" customHeight="false" outlineLevel="0" collapsed="false">
      <c r="A51" s="6"/>
      <c r="B51" s="24" t="str">
        <f aca="false">IF(A51="","",IFERROR(INDEX(Empleados!$B$5:$B$64,MATCH(A51,Empleados!$A$5:$A$64,0)),"ID no encontrado"))</f>
        <v/>
      </c>
      <c r="C51" s="13"/>
      <c r="D51" s="13"/>
      <c r="E51" s="22" t="str">
        <f aca="false">IF(OR(C51="",D51=""),"",IF(Parámetros!$B$6="Calendario",D51-C51+1,NETWORKDAYS.INTL(C51,D51,Parámetros!$B$8,Parámetros!$D$12:$D$41)))</f>
        <v/>
      </c>
      <c r="F51" s="18" t="str">
        <f aca="false">IF(D51="","",IF(Parámetros!$B$6="Calendario",D51+1,WORKDAY.INTL(D51,1,Parámetros!$B$8,Parámetros!$D$12:$D$41)))</f>
        <v/>
      </c>
      <c r="G51" s="12"/>
      <c r="H51" s="6"/>
      <c r="I51" s="12"/>
      <c r="J51" s="6"/>
      <c r="K51" s="12"/>
    </row>
    <row r="52" customFormat="false" ht="15" hidden="false" customHeight="false" outlineLevel="0" collapsed="false">
      <c r="A52" s="6"/>
      <c r="B52" s="24" t="str">
        <f aca="false">IF(A52="","",IFERROR(INDEX(Empleados!$B$5:$B$64,MATCH(A52,Empleados!$A$5:$A$64,0)),"ID no encontrado"))</f>
        <v/>
      </c>
      <c r="C52" s="13"/>
      <c r="D52" s="13"/>
      <c r="E52" s="22" t="str">
        <f aca="false">IF(OR(C52="",D52=""),"",IF(Parámetros!$B$6="Calendario",D52-C52+1,NETWORKDAYS.INTL(C52,D52,Parámetros!$B$8,Parámetros!$D$12:$D$41)))</f>
        <v/>
      </c>
      <c r="F52" s="18" t="str">
        <f aca="false">IF(D52="","",IF(Parámetros!$B$6="Calendario",D52+1,WORKDAY.INTL(D52,1,Parámetros!$B$8,Parámetros!$D$12:$D$41)))</f>
        <v/>
      </c>
      <c r="G52" s="12"/>
      <c r="H52" s="6"/>
      <c r="I52" s="12"/>
      <c r="J52" s="6"/>
      <c r="K52" s="12"/>
    </row>
    <row r="53" customFormat="false" ht="15" hidden="false" customHeight="false" outlineLevel="0" collapsed="false">
      <c r="A53" s="6"/>
      <c r="B53" s="24" t="str">
        <f aca="false">IF(A53="","",IFERROR(INDEX(Empleados!$B$5:$B$64,MATCH(A53,Empleados!$A$5:$A$64,0)),"ID no encontrado"))</f>
        <v/>
      </c>
      <c r="C53" s="13"/>
      <c r="D53" s="13"/>
      <c r="E53" s="22" t="str">
        <f aca="false">IF(OR(C53="",D53=""),"",IF(Parámetros!$B$6="Calendario",D53-C53+1,NETWORKDAYS.INTL(C53,D53,Parámetros!$B$8,Parámetros!$D$12:$D$41)))</f>
        <v/>
      </c>
      <c r="F53" s="18" t="str">
        <f aca="false">IF(D53="","",IF(Parámetros!$B$6="Calendario",D53+1,WORKDAY.INTL(D53,1,Parámetros!$B$8,Parámetros!$D$12:$D$41)))</f>
        <v/>
      </c>
      <c r="G53" s="12"/>
      <c r="H53" s="6"/>
      <c r="I53" s="12"/>
      <c r="J53" s="6"/>
      <c r="K53" s="12"/>
    </row>
    <row r="54" customFormat="false" ht="15" hidden="false" customHeight="false" outlineLevel="0" collapsed="false">
      <c r="A54" s="6"/>
      <c r="B54" s="24" t="str">
        <f aca="false">IF(A54="","",IFERROR(INDEX(Empleados!$B$5:$B$64,MATCH(A54,Empleados!$A$5:$A$64,0)),"ID no encontrado"))</f>
        <v/>
      </c>
      <c r="C54" s="13"/>
      <c r="D54" s="13"/>
      <c r="E54" s="22" t="str">
        <f aca="false">IF(OR(C54="",D54=""),"",IF(Parámetros!$B$6="Calendario",D54-C54+1,NETWORKDAYS.INTL(C54,D54,Parámetros!$B$8,Parámetros!$D$12:$D$41)))</f>
        <v/>
      </c>
      <c r="F54" s="18" t="str">
        <f aca="false">IF(D54="","",IF(Parámetros!$B$6="Calendario",D54+1,WORKDAY.INTL(D54,1,Parámetros!$B$8,Parámetros!$D$12:$D$41)))</f>
        <v/>
      </c>
      <c r="G54" s="12"/>
      <c r="H54" s="6"/>
      <c r="I54" s="12"/>
      <c r="J54" s="6"/>
      <c r="K54" s="12"/>
    </row>
    <row r="55" customFormat="false" ht="15" hidden="false" customHeight="false" outlineLevel="0" collapsed="false">
      <c r="A55" s="6"/>
      <c r="B55" s="24" t="str">
        <f aca="false">IF(A55="","",IFERROR(INDEX(Empleados!$B$5:$B$64,MATCH(A55,Empleados!$A$5:$A$64,0)),"ID no encontrado"))</f>
        <v/>
      </c>
      <c r="C55" s="13"/>
      <c r="D55" s="13"/>
      <c r="E55" s="22" t="str">
        <f aca="false">IF(OR(C55="",D55=""),"",IF(Parámetros!$B$6="Calendario",D55-C55+1,NETWORKDAYS.INTL(C55,D55,Parámetros!$B$8,Parámetros!$D$12:$D$41)))</f>
        <v/>
      </c>
      <c r="F55" s="18" t="str">
        <f aca="false">IF(D55="","",IF(Parámetros!$B$6="Calendario",D55+1,WORKDAY.INTL(D55,1,Parámetros!$B$8,Parámetros!$D$12:$D$41)))</f>
        <v/>
      </c>
      <c r="G55" s="12"/>
      <c r="H55" s="6"/>
      <c r="I55" s="12"/>
      <c r="J55" s="6"/>
      <c r="K55" s="12"/>
    </row>
    <row r="56" customFormat="false" ht="15" hidden="false" customHeight="false" outlineLevel="0" collapsed="false">
      <c r="A56" s="6"/>
      <c r="B56" s="24" t="str">
        <f aca="false">IF(A56="","",IFERROR(INDEX(Empleados!$B$5:$B$64,MATCH(A56,Empleados!$A$5:$A$64,0)),"ID no encontrado"))</f>
        <v/>
      </c>
      <c r="C56" s="13"/>
      <c r="D56" s="13"/>
      <c r="E56" s="22" t="str">
        <f aca="false">IF(OR(C56="",D56=""),"",IF(Parámetros!$B$6="Calendario",D56-C56+1,NETWORKDAYS.INTL(C56,D56,Parámetros!$B$8,Parámetros!$D$12:$D$41)))</f>
        <v/>
      </c>
      <c r="F56" s="18" t="str">
        <f aca="false">IF(D56="","",IF(Parámetros!$B$6="Calendario",D56+1,WORKDAY.INTL(D56,1,Parámetros!$B$8,Parámetros!$D$12:$D$41)))</f>
        <v/>
      </c>
      <c r="G56" s="12"/>
      <c r="H56" s="6"/>
      <c r="I56" s="12"/>
      <c r="J56" s="6"/>
      <c r="K56" s="12"/>
    </row>
    <row r="57" customFormat="false" ht="15" hidden="false" customHeight="false" outlineLevel="0" collapsed="false">
      <c r="A57" s="6"/>
      <c r="B57" s="24" t="str">
        <f aca="false">IF(A57="","",IFERROR(INDEX(Empleados!$B$5:$B$64,MATCH(A57,Empleados!$A$5:$A$64,0)),"ID no encontrado"))</f>
        <v/>
      </c>
      <c r="C57" s="13"/>
      <c r="D57" s="13"/>
      <c r="E57" s="22" t="str">
        <f aca="false">IF(OR(C57="",D57=""),"",IF(Parámetros!$B$6="Calendario",D57-C57+1,NETWORKDAYS.INTL(C57,D57,Parámetros!$B$8,Parámetros!$D$12:$D$41)))</f>
        <v/>
      </c>
      <c r="F57" s="18" t="str">
        <f aca="false">IF(D57="","",IF(Parámetros!$B$6="Calendario",D57+1,WORKDAY.INTL(D57,1,Parámetros!$B$8,Parámetros!$D$12:$D$41)))</f>
        <v/>
      </c>
      <c r="G57" s="12"/>
      <c r="H57" s="6"/>
      <c r="I57" s="12"/>
      <c r="J57" s="6"/>
      <c r="K57" s="12"/>
    </row>
    <row r="58" customFormat="false" ht="15" hidden="false" customHeight="false" outlineLevel="0" collapsed="false">
      <c r="A58" s="6"/>
      <c r="B58" s="24" t="str">
        <f aca="false">IF(A58="","",IFERROR(INDEX(Empleados!$B$5:$B$64,MATCH(A58,Empleados!$A$5:$A$64,0)),"ID no encontrado"))</f>
        <v/>
      </c>
      <c r="C58" s="13"/>
      <c r="D58" s="13"/>
      <c r="E58" s="22" t="str">
        <f aca="false">IF(OR(C58="",D58=""),"",IF(Parámetros!$B$6="Calendario",D58-C58+1,NETWORKDAYS.INTL(C58,D58,Parámetros!$B$8,Parámetros!$D$12:$D$41)))</f>
        <v/>
      </c>
      <c r="F58" s="18" t="str">
        <f aca="false">IF(D58="","",IF(Parámetros!$B$6="Calendario",D58+1,WORKDAY.INTL(D58,1,Parámetros!$B$8,Parámetros!$D$12:$D$41)))</f>
        <v/>
      </c>
      <c r="G58" s="12"/>
      <c r="H58" s="6"/>
      <c r="I58" s="12"/>
      <c r="J58" s="6"/>
      <c r="K58" s="12"/>
    </row>
    <row r="59" customFormat="false" ht="15" hidden="false" customHeight="false" outlineLevel="0" collapsed="false">
      <c r="A59" s="6"/>
      <c r="B59" s="24" t="str">
        <f aca="false">IF(A59="","",IFERROR(INDEX(Empleados!$B$5:$B$64,MATCH(A59,Empleados!$A$5:$A$64,0)),"ID no encontrado"))</f>
        <v/>
      </c>
      <c r="C59" s="13"/>
      <c r="D59" s="13"/>
      <c r="E59" s="22" t="str">
        <f aca="false">IF(OR(C59="",D59=""),"",IF(Parámetros!$B$6="Calendario",D59-C59+1,NETWORKDAYS.INTL(C59,D59,Parámetros!$B$8,Parámetros!$D$12:$D$41)))</f>
        <v/>
      </c>
      <c r="F59" s="18" t="str">
        <f aca="false">IF(D59="","",IF(Parámetros!$B$6="Calendario",D59+1,WORKDAY.INTL(D59,1,Parámetros!$B$8,Parámetros!$D$12:$D$41)))</f>
        <v/>
      </c>
      <c r="G59" s="12"/>
      <c r="H59" s="6"/>
      <c r="I59" s="12"/>
      <c r="J59" s="6"/>
      <c r="K59" s="12"/>
    </row>
    <row r="60" customFormat="false" ht="15" hidden="false" customHeight="false" outlineLevel="0" collapsed="false">
      <c r="A60" s="6"/>
      <c r="B60" s="24" t="str">
        <f aca="false">IF(A60="","",IFERROR(INDEX(Empleados!$B$5:$B$64,MATCH(A60,Empleados!$A$5:$A$64,0)),"ID no encontrado"))</f>
        <v/>
      </c>
      <c r="C60" s="13"/>
      <c r="D60" s="13"/>
      <c r="E60" s="22" t="str">
        <f aca="false">IF(OR(C60="",D60=""),"",IF(Parámetros!$B$6="Calendario",D60-C60+1,NETWORKDAYS.INTL(C60,D60,Parámetros!$B$8,Parámetros!$D$12:$D$41)))</f>
        <v/>
      </c>
      <c r="F60" s="18" t="str">
        <f aca="false">IF(D60="","",IF(Parámetros!$B$6="Calendario",D60+1,WORKDAY.INTL(D60,1,Parámetros!$B$8,Parámetros!$D$12:$D$41)))</f>
        <v/>
      </c>
      <c r="G60" s="12"/>
      <c r="H60" s="6"/>
      <c r="I60" s="12"/>
      <c r="J60" s="6"/>
      <c r="K60" s="12"/>
    </row>
    <row r="61" customFormat="false" ht="15" hidden="false" customHeight="false" outlineLevel="0" collapsed="false">
      <c r="A61" s="6"/>
      <c r="B61" s="24" t="str">
        <f aca="false">IF(A61="","",IFERROR(INDEX(Empleados!$B$5:$B$64,MATCH(A61,Empleados!$A$5:$A$64,0)),"ID no encontrado"))</f>
        <v/>
      </c>
      <c r="C61" s="13"/>
      <c r="D61" s="13"/>
      <c r="E61" s="22" t="str">
        <f aca="false">IF(OR(C61="",D61=""),"",IF(Parámetros!$B$6="Calendario",D61-C61+1,NETWORKDAYS.INTL(C61,D61,Parámetros!$B$8,Parámetros!$D$12:$D$41)))</f>
        <v/>
      </c>
      <c r="F61" s="18" t="str">
        <f aca="false">IF(D61="","",IF(Parámetros!$B$6="Calendario",D61+1,WORKDAY.INTL(D61,1,Parámetros!$B$8,Parámetros!$D$12:$D$41)))</f>
        <v/>
      </c>
      <c r="G61" s="12"/>
      <c r="H61" s="6"/>
      <c r="I61" s="12"/>
      <c r="J61" s="6"/>
      <c r="K61" s="12"/>
    </row>
    <row r="62" customFormat="false" ht="15" hidden="false" customHeight="false" outlineLevel="0" collapsed="false">
      <c r="A62" s="6"/>
      <c r="B62" s="24" t="str">
        <f aca="false">IF(A62="","",IFERROR(INDEX(Empleados!$B$5:$B$64,MATCH(A62,Empleados!$A$5:$A$64,0)),"ID no encontrado"))</f>
        <v/>
      </c>
      <c r="C62" s="13"/>
      <c r="D62" s="13"/>
      <c r="E62" s="22" t="str">
        <f aca="false">IF(OR(C62="",D62=""),"",IF(Parámetros!$B$6="Calendario",D62-C62+1,NETWORKDAYS.INTL(C62,D62,Parámetros!$B$8,Parámetros!$D$12:$D$41)))</f>
        <v/>
      </c>
      <c r="F62" s="18" t="str">
        <f aca="false">IF(D62="","",IF(Parámetros!$B$6="Calendario",D62+1,WORKDAY.INTL(D62,1,Parámetros!$B$8,Parámetros!$D$12:$D$41)))</f>
        <v/>
      </c>
      <c r="G62" s="12"/>
      <c r="H62" s="6"/>
      <c r="I62" s="12"/>
      <c r="J62" s="6"/>
      <c r="K62" s="12"/>
    </row>
    <row r="63" customFormat="false" ht="15" hidden="false" customHeight="false" outlineLevel="0" collapsed="false">
      <c r="A63" s="6"/>
      <c r="B63" s="24" t="str">
        <f aca="false">IF(A63="","",IFERROR(INDEX(Empleados!$B$5:$B$64,MATCH(A63,Empleados!$A$5:$A$64,0)),"ID no encontrado"))</f>
        <v/>
      </c>
      <c r="C63" s="13"/>
      <c r="D63" s="13"/>
      <c r="E63" s="22" t="str">
        <f aca="false">IF(OR(C63="",D63=""),"",IF(Parámetros!$B$6="Calendario",D63-C63+1,NETWORKDAYS.INTL(C63,D63,Parámetros!$B$8,Parámetros!$D$12:$D$41)))</f>
        <v/>
      </c>
      <c r="F63" s="18" t="str">
        <f aca="false">IF(D63="","",IF(Parámetros!$B$6="Calendario",D63+1,WORKDAY.INTL(D63,1,Parámetros!$B$8,Parámetros!$D$12:$D$41)))</f>
        <v/>
      </c>
      <c r="G63" s="12"/>
      <c r="H63" s="6"/>
      <c r="I63" s="12"/>
      <c r="J63" s="6"/>
      <c r="K63" s="12"/>
    </row>
    <row r="64" customFormat="false" ht="15" hidden="false" customHeight="false" outlineLevel="0" collapsed="false">
      <c r="A64" s="6"/>
      <c r="B64" s="24" t="str">
        <f aca="false">IF(A64="","",IFERROR(INDEX(Empleados!$B$5:$B$64,MATCH(A64,Empleados!$A$5:$A$64,0)),"ID no encontrado"))</f>
        <v/>
      </c>
      <c r="C64" s="13"/>
      <c r="D64" s="13"/>
      <c r="E64" s="22" t="str">
        <f aca="false">IF(OR(C64="",D64=""),"",IF(Parámetros!$B$6="Calendario",D64-C64+1,NETWORKDAYS.INTL(C64,D64,Parámetros!$B$8,Parámetros!$D$12:$D$41)))</f>
        <v/>
      </c>
      <c r="F64" s="18" t="str">
        <f aca="false">IF(D64="","",IF(Parámetros!$B$6="Calendario",D64+1,WORKDAY.INTL(D64,1,Parámetros!$B$8,Parámetros!$D$12:$D$41)))</f>
        <v/>
      </c>
      <c r="G64" s="12"/>
      <c r="H64" s="6"/>
      <c r="I64" s="12"/>
      <c r="J64" s="6"/>
      <c r="K64" s="12"/>
    </row>
    <row r="65" customFormat="false" ht="15" hidden="false" customHeight="false" outlineLevel="0" collapsed="false">
      <c r="A65" s="6"/>
      <c r="B65" s="24" t="str">
        <f aca="false">IF(A65="","",IFERROR(INDEX(Empleados!$B$5:$B$64,MATCH(A65,Empleados!$A$5:$A$64,0)),"ID no encontrado"))</f>
        <v/>
      </c>
      <c r="C65" s="13"/>
      <c r="D65" s="13"/>
      <c r="E65" s="22" t="str">
        <f aca="false">IF(OR(C65="",D65=""),"",IF(Parámetros!$B$6="Calendario",D65-C65+1,NETWORKDAYS.INTL(C65,D65,Parámetros!$B$8,Parámetros!$D$12:$D$41)))</f>
        <v/>
      </c>
      <c r="F65" s="18" t="str">
        <f aca="false">IF(D65="","",IF(Parámetros!$B$6="Calendario",D65+1,WORKDAY.INTL(D65,1,Parámetros!$B$8,Parámetros!$D$12:$D$41)))</f>
        <v/>
      </c>
      <c r="G65" s="12"/>
      <c r="H65" s="6"/>
      <c r="I65" s="12"/>
      <c r="J65" s="6"/>
      <c r="K65" s="12"/>
    </row>
    <row r="66" customFormat="false" ht="15" hidden="false" customHeight="false" outlineLevel="0" collapsed="false">
      <c r="A66" s="6"/>
      <c r="B66" s="24" t="str">
        <f aca="false">IF(A66="","",IFERROR(INDEX(Empleados!$B$5:$B$64,MATCH(A66,Empleados!$A$5:$A$64,0)),"ID no encontrado"))</f>
        <v/>
      </c>
      <c r="C66" s="13"/>
      <c r="D66" s="13"/>
      <c r="E66" s="22" t="str">
        <f aca="false">IF(OR(C66="",D66=""),"",IF(Parámetros!$B$6="Calendario",D66-C66+1,NETWORKDAYS.INTL(C66,D66,Parámetros!$B$8,Parámetros!$D$12:$D$41)))</f>
        <v/>
      </c>
      <c r="F66" s="18" t="str">
        <f aca="false">IF(D66="","",IF(Parámetros!$B$6="Calendario",D66+1,WORKDAY.INTL(D66,1,Parámetros!$B$8,Parámetros!$D$12:$D$41)))</f>
        <v/>
      </c>
      <c r="G66" s="12"/>
      <c r="H66" s="6"/>
      <c r="I66" s="12"/>
      <c r="J66" s="6"/>
      <c r="K66" s="12"/>
    </row>
    <row r="67" customFormat="false" ht="15" hidden="false" customHeight="false" outlineLevel="0" collapsed="false">
      <c r="A67" s="6"/>
      <c r="B67" s="24" t="str">
        <f aca="false">IF(A67="","",IFERROR(INDEX(Empleados!$B$5:$B$64,MATCH(A67,Empleados!$A$5:$A$64,0)),"ID no encontrado"))</f>
        <v/>
      </c>
      <c r="C67" s="13"/>
      <c r="D67" s="13"/>
      <c r="E67" s="22" t="str">
        <f aca="false">IF(OR(C67="",D67=""),"",IF(Parámetros!$B$6="Calendario",D67-C67+1,NETWORKDAYS.INTL(C67,D67,Parámetros!$B$8,Parámetros!$D$12:$D$41)))</f>
        <v/>
      </c>
      <c r="F67" s="18" t="str">
        <f aca="false">IF(D67="","",IF(Parámetros!$B$6="Calendario",D67+1,WORKDAY.INTL(D67,1,Parámetros!$B$8,Parámetros!$D$12:$D$41)))</f>
        <v/>
      </c>
      <c r="G67" s="12"/>
      <c r="H67" s="6"/>
      <c r="I67" s="12"/>
      <c r="J67" s="6"/>
      <c r="K67" s="12"/>
    </row>
    <row r="68" customFormat="false" ht="15" hidden="false" customHeight="false" outlineLevel="0" collapsed="false">
      <c r="A68" s="6"/>
      <c r="B68" s="24" t="str">
        <f aca="false">IF(A68="","",IFERROR(INDEX(Empleados!$B$5:$B$64,MATCH(A68,Empleados!$A$5:$A$64,0)),"ID no encontrado"))</f>
        <v/>
      </c>
      <c r="C68" s="13"/>
      <c r="D68" s="13"/>
      <c r="E68" s="22" t="str">
        <f aca="false">IF(OR(C68="",D68=""),"",IF(Parámetros!$B$6="Calendario",D68-C68+1,NETWORKDAYS.INTL(C68,D68,Parámetros!$B$8,Parámetros!$D$12:$D$41)))</f>
        <v/>
      </c>
      <c r="F68" s="18" t="str">
        <f aca="false">IF(D68="","",IF(Parámetros!$B$6="Calendario",D68+1,WORKDAY.INTL(D68,1,Parámetros!$B$8,Parámetros!$D$12:$D$41)))</f>
        <v/>
      </c>
      <c r="G68" s="12"/>
      <c r="H68" s="6"/>
      <c r="I68" s="12"/>
      <c r="J68" s="6"/>
      <c r="K68" s="12"/>
    </row>
    <row r="69" customFormat="false" ht="15" hidden="false" customHeight="false" outlineLevel="0" collapsed="false">
      <c r="A69" s="6"/>
      <c r="B69" s="24" t="str">
        <f aca="false">IF(A69="","",IFERROR(INDEX(Empleados!$B$5:$B$64,MATCH(A69,Empleados!$A$5:$A$64,0)),"ID no encontrado"))</f>
        <v/>
      </c>
      <c r="C69" s="13"/>
      <c r="D69" s="13"/>
      <c r="E69" s="22" t="str">
        <f aca="false">IF(OR(C69="",D69=""),"",IF(Parámetros!$B$6="Calendario",D69-C69+1,NETWORKDAYS.INTL(C69,D69,Parámetros!$B$8,Parámetros!$D$12:$D$41)))</f>
        <v/>
      </c>
      <c r="F69" s="18" t="str">
        <f aca="false">IF(D69="","",IF(Parámetros!$B$6="Calendario",D69+1,WORKDAY.INTL(D69,1,Parámetros!$B$8,Parámetros!$D$12:$D$41)))</f>
        <v/>
      </c>
      <c r="G69" s="12"/>
      <c r="H69" s="6"/>
      <c r="I69" s="12"/>
      <c r="J69" s="6"/>
      <c r="K69" s="12"/>
    </row>
    <row r="70" customFormat="false" ht="15" hidden="false" customHeight="false" outlineLevel="0" collapsed="false">
      <c r="A70" s="6"/>
      <c r="B70" s="24" t="str">
        <f aca="false">IF(A70="","",IFERROR(INDEX(Empleados!$B$5:$B$64,MATCH(A70,Empleados!$A$5:$A$64,0)),"ID no encontrado"))</f>
        <v/>
      </c>
      <c r="C70" s="13"/>
      <c r="D70" s="13"/>
      <c r="E70" s="22" t="str">
        <f aca="false">IF(OR(C70="",D70=""),"",IF(Parámetros!$B$6="Calendario",D70-C70+1,NETWORKDAYS.INTL(C70,D70,Parámetros!$B$8,Parámetros!$D$12:$D$41)))</f>
        <v/>
      </c>
      <c r="F70" s="18" t="str">
        <f aca="false">IF(D70="","",IF(Parámetros!$B$6="Calendario",D70+1,WORKDAY.INTL(D70,1,Parámetros!$B$8,Parámetros!$D$12:$D$41)))</f>
        <v/>
      </c>
      <c r="G70" s="12"/>
      <c r="H70" s="6"/>
      <c r="I70" s="12"/>
      <c r="J70" s="6"/>
      <c r="K70" s="12"/>
    </row>
    <row r="71" customFormat="false" ht="15" hidden="false" customHeight="false" outlineLevel="0" collapsed="false">
      <c r="A71" s="6"/>
      <c r="B71" s="24" t="str">
        <f aca="false">IF(A71="","",IFERROR(INDEX(Empleados!$B$5:$B$64,MATCH(A71,Empleados!$A$5:$A$64,0)),"ID no encontrado"))</f>
        <v/>
      </c>
      <c r="C71" s="13"/>
      <c r="D71" s="13"/>
      <c r="E71" s="22" t="str">
        <f aca="false">IF(OR(C71="",D71=""),"",IF(Parámetros!$B$6="Calendario",D71-C71+1,NETWORKDAYS.INTL(C71,D71,Parámetros!$B$8,Parámetros!$D$12:$D$41)))</f>
        <v/>
      </c>
      <c r="F71" s="18" t="str">
        <f aca="false">IF(D71="","",IF(Parámetros!$B$6="Calendario",D71+1,WORKDAY.INTL(D71,1,Parámetros!$B$8,Parámetros!$D$12:$D$41)))</f>
        <v/>
      </c>
      <c r="G71" s="12"/>
      <c r="H71" s="6"/>
      <c r="I71" s="12"/>
      <c r="J71" s="6"/>
      <c r="K71" s="12"/>
    </row>
    <row r="72" customFormat="false" ht="15" hidden="false" customHeight="false" outlineLevel="0" collapsed="false">
      <c r="A72" s="6"/>
      <c r="B72" s="24" t="str">
        <f aca="false">IF(A72="","",IFERROR(INDEX(Empleados!$B$5:$B$64,MATCH(A72,Empleados!$A$5:$A$64,0)),"ID no encontrado"))</f>
        <v/>
      </c>
      <c r="C72" s="13"/>
      <c r="D72" s="13"/>
      <c r="E72" s="22" t="str">
        <f aca="false">IF(OR(C72="",D72=""),"",IF(Parámetros!$B$6="Calendario",D72-C72+1,NETWORKDAYS.INTL(C72,D72,Parámetros!$B$8,Parámetros!$D$12:$D$41)))</f>
        <v/>
      </c>
      <c r="F72" s="18" t="str">
        <f aca="false">IF(D72="","",IF(Parámetros!$B$6="Calendario",D72+1,WORKDAY.INTL(D72,1,Parámetros!$B$8,Parámetros!$D$12:$D$41)))</f>
        <v/>
      </c>
      <c r="G72" s="12"/>
      <c r="H72" s="6"/>
      <c r="I72" s="12"/>
      <c r="J72" s="6"/>
      <c r="K72" s="12"/>
    </row>
    <row r="73" customFormat="false" ht="15" hidden="false" customHeight="false" outlineLevel="0" collapsed="false">
      <c r="A73" s="6"/>
      <c r="B73" s="24" t="str">
        <f aca="false">IF(A73="","",IFERROR(INDEX(Empleados!$B$5:$B$64,MATCH(A73,Empleados!$A$5:$A$64,0)),"ID no encontrado"))</f>
        <v/>
      </c>
      <c r="C73" s="13"/>
      <c r="D73" s="13"/>
      <c r="E73" s="22" t="str">
        <f aca="false">IF(OR(C73="",D73=""),"",IF(Parámetros!$B$6="Calendario",D73-C73+1,NETWORKDAYS.INTL(C73,D73,Parámetros!$B$8,Parámetros!$D$12:$D$41)))</f>
        <v/>
      </c>
      <c r="F73" s="18" t="str">
        <f aca="false">IF(D73="","",IF(Parámetros!$B$6="Calendario",D73+1,WORKDAY.INTL(D73,1,Parámetros!$B$8,Parámetros!$D$12:$D$41)))</f>
        <v/>
      </c>
      <c r="G73" s="12"/>
      <c r="H73" s="6"/>
      <c r="I73" s="12"/>
      <c r="J73" s="6"/>
      <c r="K73" s="12"/>
    </row>
    <row r="74" customFormat="false" ht="15" hidden="false" customHeight="false" outlineLevel="0" collapsed="false">
      <c r="A74" s="6"/>
      <c r="B74" s="24" t="str">
        <f aca="false">IF(A74="","",IFERROR(INDEX(Empleados!$B$5:$B$64,MATCH(A74,Empleados!$A$5:$A$64,0)),"ID no encontrado"))</f>
        <v/>
      </c>
      <c r="C74" s="13"/>
      <c r="D74" s="13"/>
      <c r="E74" s="22" t="str">
        <f aca="false">IF(OR(C74="",D74=""),"",IF(Parámetros!$B$6="Calendario",D74-C74+1,NETWORKDAYS.INTL(C74,D74,Parámetros!$B$8,Parámetros!$D$12:$D$41)))</f>
        <v/>
      </c>
      <c r="F74" s="18" t="str">
        <f aca="false">IF(D74="","",IF(Parámetros!$B$6="Calendario",D74+1,WORKDAY.INTL(D74,1,Parámetros!$B$8,Parámetros!$D$12:$D$41)))</f>
        <v/>
      </c>
      <c r="G74" s="12"/>
      <c r="H74" s="6"/>
      <c r="I74" s="12"/>
      <c r="J74" s="6"/>
      <c r="K74" s="12"/>
    </row>
    <row r="75" customFormat="false" ht="15" hidden="false" customHeight="false" outlineLevel="0" collapsed="false">
      <c r="A75" s="6"/>
      <c r="B75" s="24" t="str">
        <f aca="false">IF(A75="","",IFERROR(INDEX(Empleados!$B$5:$B$64,MATCH(A75,Empleados!$A$5:$A$64,0)),"ID no encontrado"))</f>
        <v/>
      </c>
      <c r="C75" s="13"/>
      <c r="D75" s="13"/>
      <c r="E75" s="22" t="str">
        <f aca="false">IF(OR(C75="",D75=""),"",IF(Parámetros!$B$6="Calendario",D75-C75+1,NETWORKDAYS.INTL(C75,D75,Parámetros!$B$8,Parámetros!$D$12:$D$41)))</f>
        <v/>
      </c>
      <c r="F75" s="18" t="str">
        <f aca="false">IF(D75="","",IF(Parámetros!$B$6="Calendario",D75+1,WORKDAY.INTL(D75,1,Parámetros!$B$8,Parámetros!$D$12:$D$41)))</f>
        <v/>
      </c>
      <c r="G75" s="12"/>
      <c r="H75" s="6"/>
      <c r="I75" s="12"/>
      <c r="J75" s="6"/>
      <c r="K75" s="12"/>
    </row>
    <row r="76" customFormat="false" ht="15" hidden="false" customHeight="false" outlineLevel="0" collapsed="false">
      <c r="A76" s="6"/>
      <c r="B76" s="24" t="str">
        <f aca="false">IF(A76="","",IFERROR(INDEX(Empleados!$B$5:$B$64,MATCH(A76,Empleados!$A$5:$A$64,0)),"ID no encontrado"))</f>
        <v/>
      </c>
      <c r="C76" s="13"/>
      <c r="D76" s="13"/>
      <c r="E76" s="22" t="str">
        <f aca="false">IF(OR(C76="",D76=""),"",IF(Parámetros!$B$6="Calendario",D76-C76+1,NETWORKDAYS.INTL(C76,D76,Parámetros!$B$8,Parámetros!$D$12:$D$41)))</f>
        <v/>
      </c>
      <c r="F76" s="18" t="str">
        <f aca="false">IF(D76="","",IF(Parámetros!$B$6="Calendario",D76+1,WORKDAY.INTL(D76,1,Parámetros!$B$8,Parámetros!$D$12:$D$41)))</f>
        <v/>
      </c>
      <c r="G76" s="12"/>
      <c r="H76" s="6"/>
      <c r="I76" s="12"/>
      <c r="J76" s="6"/>
      <c r="K76" s="12"/>
    </row>
    <row r="77" customFormat="false" ht="15" hidden="false" customHeight="false" outlineLevel="0" collapsed="false">
      <c r="A77" s="6"/>
      <c r="B77" s="24" t="str">
        <f aca="false">IF(A77="","",IFERROR(INDEX(Empleados!$B$5:$B$64,MATCH(A77,Empleados!$A$5:$A$64,0)),"ID no encontrado"))</f>
        <v/>
      </c>
      <c r="C77" s="13"/>
      <c r="D77" s="13"/>
      <c r="E77" s="22" t="str">
        <f aca="false">IF(OR(C77="",D77=""),"",IF(Parámetros!$B$6="Calendario",D77-C77+1,NETWORKDAYS.INTL(C77,D77,Parámetros!$B$8,Parámetros!$D$12:$D$41)))</f>
        <v/>
      </c>
      <c r="F77" s="18" t="str">
        <f aca="false">IF(D77="","",IF(Parámetros!$B$6="Calendario",D77+1,WORKDAY.INTL(D77,1,Parámetros!$B$8,Parámetros!$D$12:$D$41)))</f>
        <v/>
      </c>
      <c r="G77" s="12"/>
      <c r="H77" s="6"/>
      <c r="I77" s="12"/>
      <c r="J77" s="6"/>
      <c r="K77" s="12"/>
    </row>
    <row r="78" customFormat="false" ht="15" hidden="false" customHeight="false" outlineLevel="0" collapsed="false">
      <c r="A78" s="6"/>
      <c r="B78" s="24" t="str">
        <f aca="false">IF(A78="","",IFERROR(INDEX(Empleados!$B$5:$B$64,MATCH(A78,Empleados!$A$5:$A$64,0)),"ID no encontrado"))</f>
        <v/>
      </c>
      <c r="C78" s="13"/>
      <c r="D78" s="13"/>
      <c r="E78" s="22" t="str">
        <f aca="false">IF(OR(C78="",D78=""),"",IF(Parámetros!$B$6="Calendario",D78-C78+1,NETWORKDAYS.INTL(C78,D78,Parámetros!$B$8,Parámetros!$D$12:$D$41)))</f>
        <v/>
      </c>
      <c r="F78" s="18" t="str">
        <f aca="false">IF(D78="","",IF(Parámetros!$B$6="Calendario",D78+1,WORKDAY.INTL(D78,1,Parámetros!$B$8,Parámetros!$D$12:$D$41)))</f>
        <v/>
      </c>
      <c r="G78" s="12"/>
      <c r="H78" s="6"/>
      <c r="I78" s="12"/>
      <c r="J78" s="6"/>
      <c r="K78" s="12"/>
    </row>
    <row r="79" customFormat="false" ht="15" hidden="false" customHeight="false" outlineLevel="0" collapsed="false">
      <c r="A79" s="6"/>
      <c r="B79" s="24" t="str">
        <f aca="false">IF(A79="","",IFERROR(INDEX(Empleados!$B$5:$B$64,MATCH(A79,Empleados!$A$5:$A$64,0)),"ID no encontrado"))</f>
        <v/>
      </c>
      <c r="C79" s="13"/>
      <c r="D79" s="13"/>
      <c r="E79" s="22" t="str">
        <f aca="false">IF(OR(C79="",D79=""),"",IF(Parámetros!$B$6="Calendario",D79-C79+1,NETWORKDAYS.INTL(C79,D79,Parámetros!$B$8,Parámetros!$D$12:$D$41)))</f>
        <v/>
      </c>
      <c r="F79" s="18" t="str">
        <f aca="false">IF(D79="","",IF(Parámetros!$B$6="Calendario",D79+1,WORKDAY.INTL(D79,1,Parámetros!$B$8,Parámetros!$D$12:$D$41)))</f>
        <v/>
      </c>
      <c r="G79" s="12"/>
      <c r="H79" s="6"/>
      <c r="I79" s="12"/>
      <c r="J79" s="6"/>
      <c r="K79" s="12"/>
    </row>
    <row r="80" customFormat="false" ht="15" hidden="false" customHeight="false" outlineLevel="0" collapsed="false">
      <c r="A80" s="6"/>
      <c r="B80" s="24" t="str">
        <f aca="false">IF(A80="","",IFERROR(INDEX(Empleados!$B$5:$B$64,MATCH(A80,Empleados!$A$5:$A$64,0)),"ID no encontrado"))</f>
        <v/>
      </c>
      <c r="C80" s="13"/>
      <c r="D80" s="13"/>
      <c r="E80" s="22" t="str">
        <f aca="false">IF(OR(C80="",D80=""),"",IF(Parámetros!$B$6="Calendario",D80-C80+1,NETWORKDAYS.INTL(C80,D80,Parámetros!$B$8,Parámetros!$D$12:$D$41)))</f>
        <v/>
      </c>
      <c r="F80" s="18" t="str">
        <f aca="false">IF(D80="","",IF(Parámetros!$B$6="Calendario",D80+1,WORKDAY.INTL(D80,1,Parámetros!$B$8,Parámetros!$D$12:$D$41)))</f>
        <v/>
      </c>
      <c r="G80" s="12"/>
      <c r="H80" s="6"/>
      <c r="I80" s="12"/>
      <c r="J80" s="6"/>
      <c r="K80" s="12"/>
    </row>
    <row r="81" customFormat="false" ht="15" hidden="false" customHeight="false" outlineLevel="0" collapsed="false">
      <c r="A81" s="6"/>
      <c r="B81" s="24" t="str">
        <f aca="false">IF(A81="","",IFERROR(INDEX(Empleados!$B$5:$B$64,MATCH(A81,Empleados!$A$5:$A$64,0)),"ID no encontrado"))</f>
        <v/>
      </c>
      <c r="C81" s="13"/>
      <c r="D81" s="13"/>
      <c r="E81" s="22" t="str">
        <f aca="false">IF(OR(C81="",D81=""),"",IF(Parámetros!$B$6="Calendario",D81-C81+1,NETWORKDAYS.INTL(C81,D81,Parámetros!$B$8,Parámetros!$D$12:$D$41)))</f>
        <v/>
      </c>
      <c r="F81" s="18" t="str">
        <f aca="false">IF(D81="","",IF(Parámetros!$B$6="Calendario",D81+1,WORKDAY.INTL(D81,1,Parámetros!$B$8,Parámetros!$D$12:$D$41)))</f>
        <v/>
      </c>
      <c r="G81" s="12"/>
      <c r="H81" s="6"/>
      <c r="I81" s="12"/>
      <c r="J81" s="6"/>
      <c r="K81" s="12"/>
    </row>
    <row r="82" customFormat="false" ht="15" hidden="false" customHeight="false" outlineLevel="0" collapsed="false">
      <c r="A82" s="6"/>
      <c r="B82" s="24" t="str">
        <f aca="false">IF(A82="","",IFERROR(INDEX(Empleados!$B$5:$B$64,MATCH(A82,Empleados!$A$5:$A$64,0)),"ID no encontrado"))</f>
        <v/>
      </c>
      <c r="C82" s="13"/>
      <c r="D82" s="13"/>
      <c r="E82" s="22" t="str">
        <f aca="false">IF(OR(C82="",D82=""),"",IF(Parámetros!$B$6="Calendario",D82-C82+1,NETWORKDAYS.INTL(C82,D82,Parámetros!$B$8,Parámetros!$D$12:$D$41)))</f>
        <v/>
      </c>
      <c r="F82" s="18" t="str">
        <f aca="false">IF(D82="","",IF(Parámetros!$B$6="Calendario",D82+1,WORKDAY.INTL(D82,1,Parámetros!$B$8,Parámetros!$D$12:$D$41)))</f>
        <v/>
      </c>
      <c r="G82" s="12"/>
      <c r="H82" s="6"/>
      <c r="I82" s="12"/>
      <c r="J82" s="6"/>
      <c r="K82" s="12"/>
    </row>
    <row r="83" customFormat="false" ht="15" hidden="false" customHeight="false" outlineLevel="0" collapsed="false">
      <c r="A83" s="6"/>
      <c r="B83" s="24" t="str">
        <f aca="false">IF(A83="","",IFERROR(INDEX(Empleados!$B$5:$B$64,MATCH(A83,Empleados!$A$5:$A$64,0)),"ID no encontrado"))</f>
        <v/>
      </c>
      <c r="C83" s="13"/>
      <c r="D83" s="13"/>
      <c r="E83" s="22" t="str">
        <f aca="false">IF(OR(C83="",D83=""),"",IF(Parámetros!$B$6="Calendario",D83-C83+1,NETWORKDAYS.INTL(C83,D83,Parámetros!$B$8,Parámetros!$D$12:$D$41)))</f>
        <v/>
      </c>
      <c r="F83" s="18" t="str">
        <f aca="false">IF(D83="","",IF(Parámetros!$B$6="Calendario",D83+1,WORKDAY.INTL(D83,1,Parámetros!$B$8,Parámetros!$D$12:$D$41)))</f>
        <v/>
      </c>
      <c r="G83" s="12"/>
      <c r="H83" s="6"/>
      <c r="I83" s="12"/>
      <c r="J83" s="6"/>
      <c r="K83" s="12"/>
    </row>
    <row r="84" customFormat="false" ht="15" hidden="false" customHeight="false" outlineLevel="0" collapsed="false">
      <c r="A84" s="6"/>
      <c r="B84" s="24" t="str">
        <f aca="false">IF(A84="","",IFERROR(INDEX(Empleados!$B$5:$B$64,MATCH(A84,Empleados!$A$5:$A$64,0)),"ID no encontrado"))</f>
        <v/>
      </c>
      <c r="C84" s="13"/>
      <c r="D84" s="13"/>
      <c r="E84" s="22" t="str">
        <f aca="false">IF(OR(C84="",D84=""),"",IF(Parámetros!$B$6="Calendario",D84-C84+1,NETWORKDAYS.INTL(C84,D84,Parámetros!$B$8,Parámetros!$D$12:$D$41)))</f>
        <v/>
      </c>
      <c r="F84" s="18" t="str">
        <f aca="false">IF(D84="","",IF(Parámetros!$B$6="Calendario",D84+1,WORKDAY.INTL(D84,1,Parámetros!$B$8,Parámetros!$D$12:$D$41)))</f>
        <v/>
      </c>
      <c r="G84" s="12"/>
      <c r="H84" s="6"/>
      <c r="I84" s="12"/>
      <c r="J84" s="6"/>
      <c r="K84" s="12"/>
    </row>
    <row r="85" customFormat="false" ht="15" hidden="false" customHeight="false" outlineLevel="0" collapsed="false">
      <c r="A85" s="6"/>
      <c r="B85" s="24" t="str">
        <f aca="false">IF(A85="","",IFERROR(INDEX(Empleados!$B$5:$B$64,MATCH(A85,Empleados!$A$5:$A$64,0)),"ID no encontrado"))</f>
        <v/>
      </c>
      <c r="C85" s="13"/>
      <c r="D85" s="13"/>
      <c r="E85" s="22" t="str">
        <f aca="false">IF(OR(C85="",D85=""),"",IF(Parámetros!$B$6="Calendario",D85-C85+1,NETWORKDAYS.INTL(C85,D85,Parámetros!$B$8,Parámetros!$D$12:$D$41)))</f>
        <v/>
      </c>
      <c r="F85" s="18" t="str">
        <f aca="false">IF(D85="","",IF(Parámetros!$B$6="Calendario",D85+1,WORKDAY.INTL(D85,1,Parámetros!$B$8,Parámetros!$D$12:$D$41)))</f>
        <v/>
      </c>
      <c r="G85" s="12"/>
      <c r="H85" s="6"/>
      <c r="I85" s="12"/>
      <c r="J85" s="6"/>
      <c r="K85" s="12"/>
    </row>
    <row r="86" customFormat="false" ht="15" hidden="false" customHeight="false" outlineLevel="0" collapsed="false">
      <c r="A86" s="6"/>
      <c r="B86" s="24" t="str">
        <f aca="false">IF(A86="","",IFERROR(INDEX(Empleados!$B$5:$B$64,MATCH(A86,Empleados!$A$5:$A$64,0)),"ID no encontrado"))</f>
        <v/>
      </c>
      <c r="C86" s="13"/>
      <c r="D86" s="13"/>
      <c r="E86" s="22" t="str">
        <f aca="false">IF(OR(C86="",D86=""),"",IF(Parámetros!$B$6="Calendario",D86-C86+1,NETWORKDAYS.INTL(C86,D86,Parámetros!$B$8,Parámetros!$D$12:$D$41)))</f>
        <v/>
      </c>
      <c r="F86" s="18" t="str">
        <f aca="false">IF(D86="","",IF(Parámetros!$B$6="Calendario",D86+1,WORKDAY.INTL(D86,1,Parámetros!$B$8,Parámetros!$D$12:$D$41)))</f>
        <v/>
      </c>
      <c r="G86" s="12"/>
      <c r="H86" s="6"/>
      <c r="I86" s="12"/>
      <c r="J86" s="6"/>
      <c r="K86" s="12"/>
    </row>
    <row r="87" customFormat="false" ht="15" hidden="false" customHeight="false" outlineLevel="0" collapsed="false">
      <c r="A87" s="6"/>
      <c r="B87" s="24" t="str">
        <f aca="false">IF(A87="","",IFERROR(INDEX(Empleados!$B$5:$B$64,MATCH(A87,Empleados!$A$5:$A$64,0)),"ID no encontrado"))</f>
        <v/>
      </c>
      <c r="C87" s="13"/>
      <c r="D87" s="13"/>
      <c r="E87" s="22" t="str">
        <f aca="false">IF(OR(C87="",D87=""),"",IF(Parámetros!$B$6="Calendario",D87-C87+1,NETWORKDAYS.INTL(C87,D87,Parámetros!$B$8,Parámetros!$D$12:$D$41)))</f>
        <v/>
      </c>
      <c r="F87" s="18" t="str">
        <f aca="false">IF(D87="","",IF(Parámetros!$B$6="Calendario",D87+1,WORKDAY.INTL(D87,1,Parámetros!$B$8,Parámetros!$D$12:$D$41)))</f>
        <v/>
      </c>
      <c r="G87" s="12"/>
      <c r="H87" s="6"/>
      <c r="I87" s="12"/>
      <c r="J87" s="6"/>
      <c r="K87" s="12"/>
    </row>
    <row r="88" customFormat="false" ht="15" hidden="false" customHeight="false" outlineLevel="0" collapsed="false">
      <c r="A88" s="6"/>
      <c r="B88" s="24" t="str">
        <f aca="false">IF(A88="","",IFERROR(INDEX(Empleados!$B$5:$B$64,MATCH(A88,Empleados!$A$5:$A$64,0)),"ID no encontrado"))</f>
        <v/>
      </c>
      <c r="C88" s="13"/>
      <c r="D88" s="13"/>
      <c r="E88" s="22" t="str">
        <f aca="false">IF(OR(C88="",D88=""),"",IF(Parámetros!$B$6="Calendario",D88-C88+1,NETWORKDAYS.INTL(C88,D88,Parámetros!$B$8,Parámetros!$D$12:$D$41)))</f>
        <v/>
      </c>
      <c r="F88" s="18" t="str">
        <f aca="false">IF(D88="","",IF(Parámetros!$B$6="Calendario",D88+1,WORKDAY.INTL(D88,1,Parámetros!$B$8,Parámetros!$D$12:$D$41)))</f>
        <v/>
      </c>
      <c r="G88" s="12"/>
      <c r="H88" s="6"/>
      <c r="I88" s="12"/>
      <c r="J88" s="6"/>
      <c r="K88" s="12"/>
    </row>
    <row r="89" customFormat="false" ht="15" hidden="false" customHeight="false" outlineLevel="0" collapsed="false">
      <c r="A89" s="6"/>
      <c r="B89" s="24" t="str">
        <f aca="false">IF(A89="","",IFERROR(INDEX(Empleados!$B$5:$B$64,MATCH(A89,Empleados!$A$5:$A$64,0)),"ID no encontrado"))</f>
        <v/>
      </c>
      <c r="C89" s="13"/>
      <c r="D89" s="13"/>
      <c r="E89" s="22" t="str">
        <f aca="false">IF(OR(C89="",D89=""),"",IF(Parámetros!$B$6="Calendario",D89-C89+1,NETWORKDAYS.INTL(C89,D89,Parámetros!$B$8,Parámetros!$D$12:$D$41)))</f>
        <v/>
      </c>
      <c r="F89" s="18" t="str">
        <f aca="false">IF(D89="","",IF(Parámetros!$B$6="Calendario",D89+1,WORKDAY.INTL(D89,1,Parámetros!$B$8,Parámetros!$D$12:$D$41)))</f>
        <v/>
      </c>
      <c r="G89" s="12"/>
      <c r="H89" s="6"/>
      <c r="I89" s="12"/>
      <c r="J89" s="6"/>
      <c r="K89" s="12"/>
    </row>
    <row r="90" customFormat="false" ht="15" hidden="false" customHeight="false" outlineLevel="0" collapsed="false">
      <c r="A90" s="6"/>
      <c r="B90" s="24" t="str">
        <f aca="false">IF(A90="","",IFERROR(INDEX(Empleados!$B$5:$B$64,MATCH(A90,Empleados!$A$5:$A$64,0)),"ID no encontrado"))</f>
        <v/>
      </c>
      <c r="C90" s="13"/>
      <c r="D90" s="13"/>
      <c r="E90" s="22" t="str">
        <f aca="false">IF(OR(C90="",D90=""),"",IF(Parámetros!$B$6="Calendario",D90-C90+1,NETWORKDAYS.INTL(C90,D90,Parámetros!$B$8,Parámetros!$D$12:$D$41)))</f>
        <v/>
      </c>
      <c r="F90" s="18" t="str">
        <f aca="false">IF(D90="","",IF(Parámetros!$B$6="Calendario",D90+1,WORKDAY.INTL(D90,1,Parámetros!$B$8,Parámetros!$D$12:$D$41)))</f>
        <v/>
      </c>
      <c r="G90" s="12"/>
      <c r="H90" s="6"/>
      <c r="I90" s="12"/>
      <c r="J90" s="6"/>
      <c r="K90" s="12"/>
    </row>
    <row r="91" customFormat="false" ht="15" hidden="false" customHeight="false" outlineLevel="0" collapsed="false">
      <c r="A91" s="6"/>
      <c r="B91" s="24" t="str">
        <f aca="false">IF(A91="","",IFERROR(INDEX(Empleados!$B$5:$B$64,MATCH(A91,Empleados!$A$5:$A$64,0)),"ID no encontrado"))</f>
        <v/>
      </c>
      <c r="C91" s="13"/>
      <c r="D91" s="13"/>
      <c r="E91" s="22" t="str">
        <f aca="false">IF(OR(C91="",D91=""),"",IF(Parámetros!$B$6="Calendario",D91-C91+1,NETWORKDAYS.INTL(C91,D91,Parámetros!$B$8,Parámetros!$D$12:$D$41)))</f>
        <v/>
      </c>
      <c r="F91" s="18" t="str">
        <f aca="false">IF(D91="","",IF(Parámetros!$B$6="Calendario",D91+1,WORKDAY.INTL(D91,1,Parámetros!$B$8,Parámetros!$D$12:$D$41)))</f>
        <v/>
      </c>
      <c r="G91" s="12"/>
      <c r="H91" s="6"/>
      <c r="I91" s="12"/>
      <c r="J91" s="6"/>
      <c r="K91" s="12"/>
    </row>
    <row r="92" customFormat="false" ht="15" hidden="false" customHeight="false" outlineLevel="0" collapsed="false">
      <c r="A92" s="6"/>
      <c r="B92" s="24" t="str">
        <f aca="false">IF(A92="","",IFERROR(INDEX(Empleados!$B$5:$B$64,MATCH(A92,Empleados!$A$5:$A$64,0)),"ID no encontrado"))</f>
        <v/>
      </c>
      <c r="C92" s="13"/>
      <c r="D92" s="13"/>
      <c r="E92" s="22" t="str">
        <f aca="false">IF(OR(C92="",D92=""),"",IF(Parámetros!$B$6="Calendario",D92-C92+1,NETWORKDAYS.INTL(C92,D92,Parámetros!$B$8,Parámetros!$D$12:$D$41)))</f>
        <v/>
      </c>
      <c r="F92" s="18" t="str">
        <f aca="false">IF(D92="","",IF(Parámetros!$B$6="Calendario",D92+1,WORKDAY.INTL(D92,1,Parámetros!$B$8,Parámetros!$D$12:$D$41)))</f>
        <v/>
      </c>
      <c r="G92" s="12"/>
      <c r="H92" s="6"/>
      <c r="I92" s="12"/>
      <c r="J92" s="6"/>
      <c r="K92" s="12"/>
    </row>
    <row r="93" customFormat="false" ht="15" hidden="false" customHeight="false" outlineLevel="0" collapsed="false">
      <c r="A93" s="6"/>
      <c r="B93" s="24" t="str">
        <f aca="false">IF(A93="","",IFERROR(INDEX(Empleados!$B$5:$B$64,MATCH(A93,Empleados!$A$5:$A$64,0)),"ID no encontrado"))</f>
        <v/>
      </c>
      <c r="C93" s="13"/>
      <c r="D93" s="13"/>
      <c r="E93" s="22" t="str">
        <f aca="false">IF(OR(C93="",D93=""),"",IF(Parámetros!$B$6="Calendario",D93-C93+1,NETWORKDAYS.INTL(C93,D93,Parámetros!$B$8,Parámetros!$D$12:$D$41)))</f>
        <v/>
      </c>
      <c r="F93" s="18" t="str">
        <f aca="false">IF(D93="","",IF(Parámetros!$B$6="Calendario",D93+1,WORKDAY.INTL(D93,1,Parámetros!$B$8,Parámetros!$D$12:$D$41)))</f>
        <v/>
      </c>
      <c r="G93" s="12"/>
      <c r="H93" s="6"/>
      <c r="I93" s="12"/>
      <c r="J93" s="6"/>
      <c r="K93" s="12"/>
    </row>
    <row r="94" customFormat="false" ht="15" hidden="false" customHeight="false" outlineLevel="0" collapsed="false">
      <c r="A94" s="6"/>
      <c r="B94" s="24" t="str">
        <f aca="false">IF(A94="","",IFERROR(INDEX(Empleados!$B$5:$B$64,MATCH(A94,Empleados!$A$5:$A$64,0)),"ID no encontrado"))</f>
        <v/>
      </c>
      <c r="C94" s="13"/>
      <c r="D94" s="13"/>
      <c r="E94" s="22" t="str">
        <f aca="false">IF(OR(C94="",D94=""),"",IF(Parámetros!$B$6="Calendario",D94-C94+1,NETWORKDAYS.INTL(C94,D94,Parámetros!$B$8,Parámetros!$D$12:$D$41)))</f>
        <v/>
      </c>
      <c r="F94" s="18" t="str">
        <f aca="false">IF(D94="","",IF(Parámetros!$B$6="Calendario",D94+1,WORKDAY.INTL(D94,1,Parámetros!$B$8,Parámetros!$D$12:$D$41)))</f>
        <v/>
      </c>
      <c r="G94" s="12"/>
      <c r="H94" s="6"/>
      <c r="I94" s="12"/>
      <c r="J94" s="6"/>
      <c r="K94" s="12"/>
    </row>
    <row r="95" customFormat="false" ht="15" hidden="false" customHeight="false" outlineLevel="0" collapsed="false">
      <c r="A95" s="6"/>
      <c r="B95" s="24" t="str">
        <f aca="false">IF(A95="","",IFERROR(INDEX(Empleados!$B$5:$B$64,MATCH(A95,Empleados!$A$5:$A$64,0)),"ID no encontrado"))</f>
        <v/>
      </c>
      <c r="C95" s="13"/>
      <c r="D95" s="13"/>
      <c r="E95" s="22" t="str">
        <f aca="false">IF(OR(C95="",D95=""),"",IF(Parámetros!$B$6="Calendario",D95-C95+1,NETWORKDAYS.INTL(C95,D95,Parámetros!$B$8,Parámetros!$D$12:$D$41)))</f>
        <v/>
      </c>
      <c r="F95" s="18" t="str">
        <f aca="false">IF(D95="","",IF(Parámetros!$B$6="Calendario",D95+1,WORKDAY.INTL(D95,1,Parámetros!$B$8,Parámetros!$D$12:$D$41)))</f>
        <v/>
      </c>
      <c r="G95" s="12"/>
      <c r="H95" s="6"/>
      <c r="I95" s="12"/>
      <c r="J95" s="6"/>
      <c r="K95" s="12"/>
    </row>
    <row r="96" customFormat="false" ht="15" hidden="false" customHeight="false" outlineLevel="0" collapsed="false">
      <c r="A96" s="6"/>
      <c r="B96" s="24" t="str">
        <f aca="false">IF(A96="","",IFERROR(INDEX(Empleados!$B$5:$B$64,MATCH(A96,Empleados!$A$5:$A$64,0)),"ID no encontrado"))</f>
        <v/>
      </c>
      <c r="C96" s="13"/>
      <c r="D96" s="13"/>
      <c r="E96" s="22" t="str">
        <f aca="false">IF(OR(C96="",D96=""),"",IF(Parámetros!$B$6="Calendario",D96-C96+1,NETWORKDAYS.INTL(C96,D96,Parámetros!$B$8,Parámetros!$D$12:$D$41)))</f>
        <v/>
      </c>
      <c r="F96" s="18" t="str">
        <f aca="false">IF(D96="","",IF(Parámetros!$B$6="Calendario",D96+1,WORKDAY.INTL(D96,1,Parámetros!$B$8,Parámetros!$D$12:$D$41)))</f>
        <v/>
      </c>
      <c r="G96" s="12"/>
      <c r="H96" s="6"/>
      <c r="I96" s="12"/>
      <c r="J96" s="6"/>
      <c r="K96" s="12"/>
    </row>
    <row r="97" customFormat="false" ht="15" hidden="false" customHeight="false" outlineLevel="0" collapsed="false">
      <c r="A97" s="6"/>
      <c r="B97" s="24" t="str">
        <f aca="false">IF(A97="","",IFERROR(INDEX(Empleados!$B$5:$B$64,MATCH(A97,Empleados!$A$5:$A$64,0)),"ID no encontrado"))</f>
        <v/>
      </c>
      <c r="C97" s="13"/>
      <c r="D97" s="13"/>
      <c r="E97" s="22" t="str">
        <f aca="false">IF(OR(C97="",D97=""),"",IF(Parámetros!$B$6="Calendario",D97-C97+1,NETWORKDAYS.INTL(C97,D97,Parámetros!$B$8,Parámetros!$D$12:$D$41)))</f>
        <v/>
      </c>
      <c r="F97" s="18" t="str">
        <f aca="false">IF(D97="","",IF(Parámetros!$B$6="Calendario",D97+1,WORKDAY.INTL(D97,1,Parámetros!$B$8,Parámetros!$D$12:$D$41)))</f>
        <v/>
      </c>
      <c r="G97" s="12"/>
      <c r="H97" s="6"/>
      <c r="I97" s="12"/>
      <c r="J97" s="6"/>
      <c r="K97" s="12"/>
    </row>
    <row r="98" customFormat="false" ht="15" hidden="false" customHeight="false" outlineLevel="0" collapsed="false">
      <c r="A98" s="6"/>
      <c r="B98" s="24" t="str">
        <f aca="false">IF(A98="","",IFERROR(INDEX(Empleados!$B$5:$B$64,MATCH(A98,Empleados!$A$5:$A$64,0)),"ID no encontrado"))</f>
        <v/>
      </c>
      <c r="C98" s="13"/>
      <c r="D98" s="13"/>
      <c r="E98" s="22" t="str">
        <f aca="false">IF(OR(C98="",D98=""),"",IF(Parámetros!$B$6="Calendario",D98-C98+1,NETWORKDAYS.INTL(C98,D98,Parámetros!$B$8,Parámetros!$D$12:$D$41)))</f>
        <v/>
      </c>
      <c r="F98" s="18" t="str">
        <f aca="false">IF(D98="","",IF(Parámetros!$B$6="Calendario",D98+1,WORKDAY.INTL(D98,1,Parámetros!$B$8,Parámetros!$D$12:$D$41)))</f>
        <v/>
      </c>
      <c r="G98" s="12"/>
      <c r="H98" s="6"/>
      <c r="I98" s="12"/>
      <c r="J98" s="6"/>
      <c r="K98" s="12"/>
    </row>
    <row r="99" customFormat="false" ht="15" hidden="false" customHeight="false" outlineLevel="0" collapsed="false">
      <c r="A99" s="6"/>
      <c r="B99" s="24" t="str">
        <f aca="false">IF(A99="","",IFERROR(INDEX(Empleados!$B$5:$B$64,MATCH(A99,Empleados!$A$5:$A$64,0)),"ID no encontrado"))</f>
        <v/>
      </c>
      <c r="C99" s="13"/>
      <c r="D99" s="13"/>
      <c r="E99" s="22" t="str">
        <f aca="false">IF(OR(C99="",D99=""),"",IF(Parámetros!$B$6="Calendario",D99-C99+1,NETWORKDAYS.INTL(C99,D99,Parámetros!$B$8,Parámetros!$D$12:$D$41)))</f>
        <v/>
      </c>
      <c r="F99" s="18" t="str">
        <f aca="false">IF(D99="","",IF(Parámetros!$B$6="Calendario",D99+1,WORKDAY.INTL(D99,1,Parámetros!$B$8,Parámetros!$D$12:$D$41)))</f>
        <v/>
      </c>
      <c r="G99" s="12"/>
      <c r="H99" s="6"/>
      <c r="I99" s="12"/>
      <c r="J99" s="6"/>
      <c r="K99" s="12"/>
    </row>
    <row r="100" customFormat="false" ht="15" hidden="false" customHeight="false" outlineLevel="0" collapsed="false">
      <c r="A100" s="6"/>
      <c r="B100" s="24" t="str">
        <f aca="false">IF(A100="","",IFERROR(INDEX(Empleados!$B$5:$B$64,MATCH(A100,Empleados!$A$5:$A$64,0)),"ID no encontrado"))</f>
        <v/>
      </c>
      <c r="C100" s="13"/>
      <c r="D100" s="13"/>
      <c r="E100" s="22" t="str">
        <f aca="false">IF(OR(C100="",D100=""),"",IF(Parámetros!$B$6="Calendario",D100-C100+1,NETWORKDAYS.INTL(C100,D100,Parámetros!$B$8,Parámetros!$D$12:$D$41)))</f>
        <v/>
      </c>
      <c r="F100" s="18" t="str">
        <f aca="false">IF(D100="","",IF(Parámetros!$B$6="Calendario",D100+1,WORKDAY.INTL(D100,1,Parámetros!$B$8,Parámetros!$D$12:$D$41)))</f>
        <v/>
      </c>
      <c r="G100" s="12"/>
      <c r="H100" s="6"/>
      <c r="I100" s="12"/>
      <c r="J100" s="6"/>
      <c r="K100" s="12"/>
    </row>
    <row r="101" customFormat="false" ht="15" hidden="false" customHeight="false" outlineLevel="0" collapsed="false">
      <c r="A101" s="6"/>
      <c r="B101" s="24" t="str">
        <f aca="false">IF(A101="","",IFERROR(INDEX(Empleados!$B$5:$B$64,MATCH(A101,Empleados!$A$5:$A$64,0)),"ID no encontrado"))</f>
        <v/>
      </c>
      <c r="C101" s="13"/>
      <c r="D101" s="13"/>
      <c r="E101" s="22" t="str">
        <f aca="false">IF(OR(C101="",D101=""),"",IF(Parámetros!$B$6="Calendario",D101-C101+1,NETWORKDAYS.INTL(C101,D101,Parámetros!$B$8,Parámetros!$D$12:$D$41)))</f>
        <v/>
      </c>
      <c r="F101" s="18" t="str">
        <f aca="false">IF(D101="","",IF(Parámetros!$B$6="Calendario",D101+1,WORKDAY.INTL(D101,1,Parámetros!$B$8,Parámetros!$D$12:$D$41)))</f>
        <v/>
      </c>
      <c r="G101" s="12"/>
      <c r="H101" s="6"/>
      <c r="I101" s="12"/>
      <c r="J101" s="6"/>
      <c r="K101" s="12"/>
    </row>
    <row r="102" customFormat="false" ht="15" hidden="false" customHeight="false" outlineLevel="0" collapsed="false">
      <c r="A102" s="6"/>
      <c r="B102" s="24" t="str">
        <f aca="false">IF(A102="","",IFERROR(INDEX(Empleados!$B$5:$B$64,MATCH(A102,Empleados!$A$5:$A$64,0)),"ID no encontrado"))</f>
        <v/>
      </c>
      <c r="C102" s="13"/>
      <c r="D102" s="13"/>
      <c r="E102" s="22" t="str">
        <f aca="false">IF(OR(C102="",D102=""),"",IF(Parámetros!$B$6="Calendario",D102-C102+1,NETWORKDAYS.INTL(C102,D102,Parámetros!$B$8,Parámetros!$D$12:$D$41)))</f>
        <v/>
      </c>
      <c r="F102" s="18" t="str">
        <f aca="false">IF(D102="","",IF(Parámetros!$B$6="Calendario",D102+1,WORKDAY.INTL(D102,1,Parámetros!$B$8,Parámetros!$D$12:$D$41)))</f>
        <v/>
      </c>
      <c r="G102" s="12"/>
      <c r="H102" s="6"/>
      <c r="I102" s="12"/>
      <c r="J102" s="6"/>
      <c r="K102" s="12"/>
    </row>
    <row r="103" customFormat="false" ht="15" hidden="false" customHeight="false" outlineLevel="0" collapsed="false">
      <c r="A103" s="6"/>
      <c r="B103" s="24" t="str">
        <f aca="false">IF(A103="","",IFERROR(INDEX(Empleados!$B$5:$B$64,MATCH(A103,Empleados!$A$5:$A$64,0)),"ID no encontrado"))</f>
        <v/>
      </c>
      <c r="C103" s="13"/>
      <c r="D103" s="13"/>
      <c r="E103" s="22" t="str">
        <f aca="false">IF(OR(C103="",D103=""),"",IF(Parámetros!$B$6="Calendario",D103-C103+1,NETWORKDAYS.INTL(C103,D103,Parámetros!$B$8,Parámetros!$D$12:$D$41)))</f>
        <v/>
      </c>
      <c r="F103" s="18" t="str">
        <f aca="false">IF(D103="","",IF(Parámetros!$B$6="Calendario",D103+1,WORKDAY.INTL(D103,1,Parámetros!$B$8,Parámetros!$D$12:$D$41)))</f>
        <v/>
      </c>
      <c r="G103" s="12"/>
      <c r="H103" s="6"/>
      <c r="I103" s="12"/>
      <c r="J103" s="6"/>
      <c r="K103" s="12"/>
    </row>
    <row r="104" customFormat="false" ht="15" hidden="false" customHeight="false" outlineLevel="0" collapsed="false">
      <c r="A104" s="6"/>
      <c r="B104" s="24" t="str">
        <f aca="false">IF(A104="","",IFERROR(INDEX(Empleados!$B$5:$B$64,MATCH(A104,Empleados!$A$5:$A$64,0)),"ID no encontrado"))</f>
        <v/>
      </c>
      <c r="C104" s="13"/>
      <c r="D104" s="13"/>
      <c r="E104" s="22" t="str">
        <f aca="false">IF(OR(C104="",D104=""),"",IF(Parámetros!$B$6="Calendario",D104-C104+1,NETWORKDAYS.INTL(C104,D104,Parámetros!$B$8,Parámetros!$D$12:$D$41)))</f>
        <v/>
      </c>
      <c r="F104" s="18" t="str">
        <f aca="false">IF(D104="","",IF(Parámetros!$B$6="Calendario",D104+1,WORKDAY.INTL(D104,1,Parámetros!$B$8,Parámetros!$D$12:$D$41)))</f>
        <v/>
      </c>
      <c r="G104" s="12"/>
      <c r="H104" s="6"/>
      <c r="I104" s="12"/>
      <c r="J104" s="6"/>
      <c r="K104" s="12"/>
    </row>
    <row r="105" customFormat="false" ht="15" hidden="false" customHeight="false" outlineLevel="0" collapsed="false">
      <c r="A105" s="6"/>
      <c r="B105" s="24" t="str">
        <f aca="false">IF(A105="","",IFERROR(INDEX(Empleados!$B$5:$B$64,MATCH(A105,Empleados!$A$5:$A$64,0)),"ID no encontrado"))</f>
        <v/>
      </c>
      <c r="C105" s="13"/>
      <c r="D105" s="13"/>
      <c r="E105" s="22" t="str">
        <f aca="false">IF(OR(C105="",D105=""),"",IF(Parámetros!$B$6="Calendario",D105-C105+1,NETWORKDAYS.INTL(C105,D105,Parámetros!$B$8,Parámetros!$D$12:$D$41)))</f>
        <v/>
      </c>
      <c r="F105" s="18" t="str">
        <f aca="false">IF(D105="","",IF(Parámetros!$B$6="Calendario",D105+1,WORKDAY.INTL(D105,1,Parámetros!$B$8,Parámetros!$D$12:$D$41)))</f>
        <v/>
      </c>
      <c r="G105" s="12"/>
      <c r="H105" s="6"/>
      <c r="I105" s="12"/>
      <c r="J105" s="6"/>
      <c r="K105" s="12"/>
    </row>
    <row r="106" customFormat="false" ht="15" hidden="false" customHeight="false" outlineLevel="0" collapsed="false">
      <c r="A106" s="6"/>
      <c r="B106" s="24" t="str">
        <f aca="false">IF(A106="","",IFERROR(INDEX(Empleados!$B$5:$B$64,MATCH(A106,Empleados!$A$5:$A$64,0)),"ID no encontrado"))</f>
        <v/>
      </c>
      <c r="C106" s="13"/>
      <c r="D106" s="13"/>
      <c r="E106" s="22" t="str">
        <f aca="false">IF(OR(C106="",D106=""),"",IF(Parámetros!$B$6="Calendario",D106-C106+1,NETWORKDAYS.INTL(C106,D106,Parámetros!$B$8,Parámetros!$D$12:$D$41)))</f>
        <v/>
      </c>
      <c r="F106" s="18" t="str">
        <f aca="false">IF(D106="","",IF(Parámetros!$B$6="Calendario",D106+1,WORKDAY.INTL(D106,1,Parámetros!$B$8,Parámetros!$D$12:$D$41)))</f>
        <v/>
      </c>
      <c r="G106" s="12"/>
      <c r="H106" s="6"/>
      <c r="I106" s="12"/>
      <c r="J106" s="6"/>
      <c r="K106" s="12"/>
    </row>
    <row r="107" customFormat="false" ht="15" hidden="false" customHeight="false" outlineLevel="0" collapsed="false">
      <c r="A107" s="6"/>
      <c r="B107" s="24" t="str">
        <f aca="false">IF(A107="","",IFERROR(INDEX(Empleados!$B$5:$B$64,MATCH(A107,Empleados!$A$5:$A$64,0)),"ID no encontrado"))</f>
        <v/>
      </c>
      <c r="C107" s="13"/>
      <c r="D107" s="13"/>
      <c r="E107" s="22" t="str">
        <f aca="false">IF(OR(C107="",D107=""),"",IF(Parámetros!$B$6="Calendario",D107-C107+1,NETWORKDAYS.INTL(C107,D107,Parámetros!$B$8,Parámetros!$D$12:$D$41)))</f>
        <v/>
      </c>
      <c r="F107" s="18" t="str">
        <f aca="false">IF(D107="","",IF(Parámetros!$B$6="Calendario",D107+1,WORKDAY.INTL(D107,1,Parámetros!$B$8,Parámetros!$D$12:$D$41)))</f>
        <v/>
      </c>
      <c r="G107" s="12"/>
      <c r="H107" s="6"/>
      <c r="I107" s="12"/>
      <c r="J107" s="6"/>
      <c r="K107" s="12"/>
    </row>
    <row r="108" customFormat="false" ht="15" hidden="false" customHeight="false" outlineLevel="0" collapsed="false">
      <c r="A108" s="6"/>
      <c r="B108" s="24" t="str">
        <f aca="false">IF(A108="","",IFERROR(INDEX(Empleados!$B$5:$B$64,MATCH(A108,Empleados!$A$5:$A$64,0)),"ID no encontrado"))</f>
        <v/>
      </c>
      <c r="C108" s="13"/>
      <c r="D108" s="13"/>
      <c r="E108" s="22" t="str">
        <f aca="false">IF(OR(C108="",D108=""),"",IF(Parámetros!$B$6="Calendario",D108-C108+1,NETWORKDAYS.INTL(C108,D108,Parámetros!$B$8,Parámetros!$D$12:$D$41)))</f>
        <v/>
      </c>
      <c r="F108" s="18" t="str">
        <f aca="false">IF(D108="","",IF(Parámetros!$B$6="Calendario",D108+1,WORKDAY.INTL(D108,1,Parámetros!$B$8,Parámetros!$D$12:$D$41)))</f>
        <v/>
      </c>
      <c r="G108" s="12"/>
      <c r="H108" s="6"/>
      <c r="I108" s="12"/>
      <c r="J108" s="6"/>
      <c r="K108" s="12"/>
    </row>
    <row r="109" customFormat="false" ht="15" hidden="false" customHeight="false" outlineLevel="0" collapsed="false">
      <c r="A109" s="6"/>
      <c r="B109" s="24" t="str">
        <f aca="false">IF(A109="","",IFERROR(INDEX(Empleados!$B$5:$B$64,MATCH(A109,Empleados!$A$5:$A$64,0)),"ID no encontrado"))</f>
        <v/>
      </c>
      <c r="C109" s="13"/>
      <c r="D109" s="13"/>
      <c r="E109" s="22" t="str">
        <f aca="false">IF(OR(C109="",D109=""),"",IF(Parámetros!$B$6="Calendario",D109-C109+1,NETWORKDAYS.INTL(C109,D109,Parámetros!$B$8,Parámetros!$D$12:$D$41)))</f>
        <v/>
      </c>
      <c r="F109" s="18" t="str">
        <f aca="false">IF(D109="","",IF(Parámetros!$B$6="Calendario",D109+1,WORKDAY.INTL(D109,1,Parámetros!$B$8,Parámetros!$D$12:$D$41)))</f>
        <v/>
      </c>
      <c r="G109" s="12"/>
      <c r="H109" s="6"/>
      <c r="I109" s="12"/>
      <c r="J109" s="6"/>
      <c r="K109" s="12"/>
    </row>
    <row r="110" customFormat="false" ht="15" hidden="false" customHeight="false" outlineLevel="0" collapsed="false">
      <c r="A110" s="6"/>
      <c r="B110" s="24" t="str">
        <f aca="false">IF(A110="","",IFERROR(INDEX(Empleados!$B$5:$B$64,MATCH(A110,Empleados!$A$5:$A$64,0)),"ID no encontrado"))</f>
        <v/>
      </c>
      <c r="C110" s="13"/>
      <c r="D110" s="13"/>
      <c r="E110" s="22" t="str">
        <f aca="false">IF(OR(C110="",D110=""),"",IF(Parámetros!$B$6="Calendario",D110-C110+1,NETWORKDAYS.INTL(C110,D110,Parámetros!$B$8,Parámetros!$D$12:$D$41)))</f>
        <v/>
      </c>
      <c r="F110" s="18" t="str">
        <f aca="false">IF(D110="","",IF(Parámetros!$B$6="Calendario",D110+1,WORKDAY.INTL(D110,1,Parámetros!$B$8,Parámetros!$D$12:$D$41)))</f>
        <v/>
      </c>
      <c r="G110" s="12"/>
      <c r="H110" s="6"/>
      <c r="I110" s="12"/>
      <c r="J110" s="6"/>
      <c r="K110" s="12"/>
    </row>
    <row r="111" customFormat="false" ht="15" hidden="false" customHeight="false" outlineLevel="0" collapsed="false">
      <c r="A111" s="6"/>
      <c r="B111" s="24" t="str">
        <f aca="false">IF(A111="","",IFERROR(INDEX(Empleados!$B$5:$B$64,MATCH(A111,Empleados!$A$5:$A$64,0)),"ID no encontrado"))</f>
        <v/>
      </c>
      <c r="C111" s="13"/>
      <c r="D111" s="13"/>
      <c r="E111" s="22" t="str">
        <f aca="false">IF(OR(C111="",D111=""),"",IF(Parámetros!$B$6="Calendario",D111-C111+1,NETWORKDAYS.INTL(C111,D111,Parámetros!$B$8,Parámetros!$D$12:$D$41)))</f>
        <v/>
      </c>
      <c r="F111" s="18" t="str">
        <f aca="false">IF(D111="","",IF(Parámetros!$B$6="Calendario",D111+1,WORKDAY.INTL(D111,1,Parámetros!$B$8,Parámetros!$D$12:$D$41)))</f>
        <v/>
      </c>
      <c r="G111" s="12"/>
      <c r="H111" s="6"/>
      <c r="I111" s="12"/>
      <c r="J111" s="6"/>
      <c r="K111" s="12"/>
    </row>
    <row r="112" customFormat="false" ht="15" hidden="false" customHeight="false" outlineLevel="0" collapsed="false">
      <c r="A112" s="6"/>
      <c r="B112" s="24" t="str">
        <f aca="false">IF(A112="","",IFERROR(INDEX(Empleados!$B$5:$B$64,MATCH(A112,Empleados!$A$5:$A$64,0)),"ID no encontrado"))</f>
        <v/>
      </c>
      <c r="C112" s="13"/>
      <c r="D112" s="13"/>
      <c r="E112" s="22" t="str">
        <f aca="false">IF(OR(C112="",D112=""),"",IF(Parámetros!$B$6="Calendario",D112-C112+1,NETWORKDAYS.INTL(C112,D112,Parámetros!$B$8,Parámetros!$D$12:$D$41)))</f>
        <v/>
      </c>
      <c r="F112" s="18" t="str">
        <f aca="false">IF(D112="","",IF(Parámetros!$B$6="Calendario",D112+1,WORKDAY.INTL(D112,1,Parámetros!$B$8,Parámetros!$D$12:$D$41)))</f>
        <v/>
      </c>
      <c r="G112" s="12"/>
      <c r="H112" s="6"/>
      <c r="I112" s="12"/>
      <c r="J112" s="6"/>
      <c r="K112" s="12"/>
    </row>
    <row r="113" customFormat="false" ht="15" hidden="false" customHeight="false" outlineLevel="0" collapsed="false">
      <c r="A113" s="6"/>
      <c r="B113" s="24" t="str">
        <f aca="false">IF(A113="","",IFERROR(INDEX(Empleados!$B$5:$B$64,MATCH(A113,Empleados!$A$5:$A$64,0)),"ID no encontrado"))</f>
        <v/>
      </c>
      <c r="C113" s="13"/>
      <c r="D113" s="13"/>
      <c r="E113" s="22" t="str">
        <f aca="false">IF(OR(C113="",D113=""),"",IF(Parámetros!$B$6="Calendario",D113-C113+1,NETWORKDAYS.INTL(C113,D113,Parámetros!$B$8,Parámetros!$D$12:$D$41)))</f>
        <v/>
      </c>
      <c r="F113" s="18" t="str">
        <f aca="false">IF(D113="","",IF(Parámetros!$B$6="Calendario",D113+1,WORKDAY.INTL(D113,1,Parámetros!$B$8,Parámetros!$D$12:$D$41)))</f>
        <v/>
      </c>
      <c r="G113" s="12"/>
      <c r="H113" s="6"/>
      <c r="I113" s="12"/>
      <c r="J113" s="6"/>
      <c r="K113" s="12"/>
    </row>
    <row r="114" customFormat="false" ht="15" hidden="false" customHeight="false" outlineLevel="0" collapsed="false">
      <c r="A114" s="6"/>
      <c r="B114" s="24" t="str">
        <f aca="false">IF(A114="","",IFERROR(INDEX(Empleados!$B$5:$B$64,MATCH(A114,Empleados!$A$5:$A$64,0)),"ID no encontrado"))</f>
        <v/>
      </c>
      <c r="C114" s="13"/>
      <c r="D114" s="13"/>
      <c r="E114" s="22" t="str">
        <f aca="false">IF(OR(C114="",D114=""),"",IF(Parámetros!$B$6="Calendario",D114-C114+1,NETWORKDAYS.INTL(C114,D114,Parámetros!$B$8,Parámetros!$D$12:$D$41)))</f>
        <v/>
      </c>
      <c r="F114" s="18" t="str">
        <f aca="false">IF(D114="","",IF(Parámetros!$B$6="Calendario",D114+1,WORKDAY.INTL(D114,1,Parámetros!$B$8,Parámetros!$D$12:$D$41)))</f>
        <v/>
      </c>
      <c r="G114" s="12"/>
      <c r="H114" s="6"/>
      <c r="I114" s="12"/>
      <c r="J114" s="6"/>
      <c r="K114" s="12"/>
    </row>
    <row r="115" customFormat="false" ht="15" hidden="false" customHeight="false" outlineLevel="0" collapsed="false">
      <c r="A115" s="6"/>
      <c r="B115" s="24" t="str">
        <f aca="false">IF(A115="","",IFERROR(INDEX(Empleados!$B$5:$B$64,MATCH(A115,Empleados!$A$5:$A$64,0)),"ID no encontrado"))</f>
        <v/>
      </c>
      <c r="C115" s="13"/>
      <c r="D115" s="13"/>
      <c r="E115" s="22" t="str">
        <f aca="false">IF(OR(C115="",D115=""),"",IF(Parámetros!$B$6="Calendario",D115-C115+1,NETWORKDAYS.INTL(C115,D115,Parámetros!$B$8,Parámetros!$D$12:$D$41)))</f>
        <v/>
      </c>
      <c r="F115" s="18" t="str">
        <f aca="false">IF(D115="","",IF(Parámetros!$B$6="Calendario",D115+1,WORKDAY.INTL(D115,1,Parámetros!$B$8,Parámetros!$D$12:$D$41)))</f>
        <v/>
      </c>
      <c r="G115" s="12"/>
      <c r="H115" s="6"/>
      <c r="I115" s="12"/>
      <c r="J115" s="6"/>
      <c r="K115" s="12"/>
    </row>
    <row r="116" customFormat="false" ht="15" hidden="false" customHeight="false" outlineLevel="0" collapsed="false">
      <c r="A116" s="6"/>
      <c r="B116" s="24" t="str">
        <f aca="false">IF(A116="","",IFERROR(INDEX(Empleados!$B$5:$B$64,MATCH(A116,Empleados!$A$5:$A$64,0)),"ID no encontrado"))</f>
        <v/>
      </c>
      <c r="C116" s="13"/>
      <c r="D116" s="13"/>
      <c r="E116" s="22" t="str">
        <f aca="false">IF(OR(C116="",D116=""),"",IF(Parámetros!$B$6="Calendario",D116-C116+1,NETWORKDAYS.INTL(C116,D116,Parámetros!$B$8,Parámetros!$D$12:$D$41)))</f>
        <v/>
      </c>
      <c r="F116" s="18" t="str">
        <f aca="false">IF(D116="","",IF(Parámetros!$B$6="Calendario",D116+1,WORKDAY.INTL(D116,1,Parámetros!$B$8,Parámetros!$D$12:$D$41)))</f>
        <v/>
      </c>
      <c r="G116" s="12"/>
      <c r="H116" s="6"/>
      <c r="I116" s="12"/>
      <c r="J116" s="6"/>
      <c r="K116" s="12"/>
    </row>
    <row r="117" customFormat="false" ht="15" hidden="false" customHeight="false" outlineLevel="0" collapsed="false">
      <c r="A117" s="6"/>
      <c r="B117" s="24" t="str">
        <f aca="false">IF(A117="","",IFERROR(INDEX(Empleados!$B$5:$B$64,MATCH(A117,Empleados!$A$5:$A$64,0)),"ID no encontrado"))</f>
        <v/>
      </c>
      <c r="C117" s="13"/>
      <c r="D117" s="13"/>
      <c r="E117" s="22" t="str">
        <f aca="false">IF(OR(C117="",D117=""),"",IF(Parámetros!$B$6="Calendario",D117-C117+1,NETWORKDAYS.INTL(C117,D117,Parámetros!$B$8,Parámetros!$D$12:$D$41)))</f>
        <v/>
      </c>
      <c r="F117" s="18" t="str">
        <f aca="false">IF(D117="","",IF(Parámetros!$B$6="Calendario",D117+1,WORKDAY.INTL(D117,1,Parámetros!$B$8,Parámetros!$D$12:$D$41)))</f>
        <v/>
      </c>
      <c r="G117" s="12"/>
      <c r="H117" s="6"/>
      <c r="I117" s="12"/>
      <c r="J117" s="6"/>
      <c r="K117" s="12"/>
    </row>
    <row r="118" customFormat="false" ht="15" hidden="false" customHeight="false" outlineLevel="0" collapsed="false">
      <c r="A118" s="6"/>
      <c r="B118" s="24" t="str">
        <f aca="false">IF(A118="","",IFERROR(INDEX(Empleados!$B$5:$B$64,MATCH(A118,Empleados!$A$5:$A$64,0)),"ID no encontrado"))</f>
        <v/>
      </c>
      <c r="C118" s="13"/>
      <c r="D118" s="13"/>
      <c r="E118" s="22" t="str">
        <f aca="false">IF(OR(C118="",D118=""),"",IF(Parámetros!$B$6="Calendario",D118-C118+1,NETWORKDAYS.INTL(C118,D118,Parámetros!$B$8,Parámetros!$D$12:$D$41)))</f>
        <v/>
      </c>
      <c r="F118" s="18" t="str">
        <f aca="false">IF(D118="","",IF(Parámetros!$B$6="Calendario",D118+1,WORKDAY.INTL(D118,1,Parámetros!$B$8,Parámetros!$D$12:$D$41)))</f>
        <v/>
      </c>
      <c r="G118" s="12"/>
      <c r="H118" s="6"/>
      <c r="I118" s="12"/>
      <c r="J118" s="6"/>
      <c r="K118" s="12"/>
    </row>
    <row r="119" customFormat="false" ht="15" hidden="false" customHeight="false" outlineLevel="0" collapsed="false">
      <c r="A119" s="6"/>
      <c r="B119" s="24" t="str">
        <f aca="false">IF(A119="","",IFERROR(INDEX(Empleados!$B$5:$B$64,MATCH(A119,Empleados!$A$5:$A$64,0)),"ID no encontrado"))</f>
        <v/>
      </c>
      <c r="C119" s="13"/>
      <c r="D119" s="13"/>
      <c r="E119" s="22" t="str">
        <f aca="false">IF(OR(C119="",D119=""),"",IF(Parámetros!$B$6="Calendario",D119-C119+1,NETWORKDAYS.INTL(C119,D119,Parámetros!$B$8,Parámetros!$D$12:$D$41)))</f>
        <v/>
      </c>
      <c r="F119" s="18" t="str">
        <f aca="false">IF(D119="","",IF(Parámetros!$B$6="Calendario",D119+1,WORKDAY.INTL(D119,1,Parámetros!$B$8,Parámetros!$D$12:$D$41)))</f>
        <v/>
      </c>
      <c r="G119" s="12"/>
      <c r="H119" s="6"/>
      <c r="I119" s="12"/>
      <c r="J119" s="6"/>
      <c r="K119" s="12"/>
    </row>
    <row r="120" customFormat="false" ht="15" hidden="false" customHeight="false" outlineLevel="0" collapsed="false">
      <c r="A120" s="6"/>
      <c r="B120" s="24" t="str">
        <f aca="false">IF(A120="","",IFERROR(INDEX(Empleados!$B$5:$B$64,MATCH(A120,Empleados!$A$5:$A$64,0)),"ID no encontrado"))</f>
        <v/>
      </c>
      <c r="C120" s="13"/>
      <c r="D120" s="13"/>
      <c r="E120" s="22" t="str">
        <f aca="false">IF(OR(C120="",D120=""),"",IF(Parámetros!$B$6="Calendario",D120-C120+1,NETWORKDAYS.INTL(C120,D120,Parámetros!$B$8,Parámetros!$D$12:$D$41)))</f>
        <v/>
      </c>
      <c r="F120" s="18" t="str">
        <f aca="false">IF(D120="","",IF(Parámetros!$B$6="Calendario",D120+1,WORKDAY.INTL(D120,1,Parámetros!$B$8,Parámetros!$D$12:$D$41)))</f>
        <v/>
      </c>
      <c r="G120" s="12"/>
      <c r="H120" s="6"/>
      <c r="I120" s="12"/>
      <c r="J120" s="6"/>
      <c r="K120" s="12"/>
    </row>
    <row r="121" customFormat="false" ht="15" hidden="false" customHeight="false" outlineLevel="0" collapsed="false">
      <c r="A121" s="6"/>
      <c r="B121" s="24" t="str">
        <f aca="false">IF(A121="","",IFERROR(INDEX(Empleados!$B$5:$B$64,MATCH(A121,Empleados!$A$5:$A$64,0)),"ID no encontrado"))</f>
        <v/>
      </c>
      <c r="C121" s="13"/>
      <c r="D121" s="13"/>
      <c r="E121" s="22" t="str">
        <f aca="false">IF(OR(C121="",D121=""),"",IF(Parámetros!$B$6="Calendario",D121-C121+1,NETWORKDAYS.INTL(C121,D121,Parámetros!$B$8,Parámetros!$D$12:$D$41)))</f>
        <v/>
      </c>
      <c r="F121" s="18" t="str">
        <f aca="false">IF(D121="","",IF(Parámetros!$B$6="Calendario",D121+1,WORKDAY.INTL(D121,1,Parámetros!$B$8,Parámetros!$D$12:$D$41)))</f>
        <v/>
      </c>
      <c r="G121" s="12"/>
      <c r="H121" s="6"/>
      <c r="I121" s="12"/>
      <c r="J121" s="6"/>
      <c r="K121" s="12"/>
    </row>
    <row r="122" customFormat="false" ht="15" hidden="false" customHeight="false" outlineLevel="0" collapsed="false">
      <c r="A122" s="6"/>
      <c r="B122" s="24" t="str">
        <f aca="false">IF(A122="","",IFERROR(INDEX(Empleados!$B$5:$B$64,MATCH(A122,Empleados!$A$5:$A$64,0)),"ID no encontrado"))</f>
        <v/>
      </c>
      <c r="C122" s="13"/>
      <c r="D122" s="13"/>
      <c r="E122" s="22" t="str">
        <f aca="false">IF(OR(C122="",D122=""),"",IF(Parámetros!$B$6="Calendario",D122-C122+1,NETWORKDAYS.INTL(C122,D122,Parámetros!$B$8,Parámetros!$D$12:$D$41)))</f>
        <v/>
      </c>
      <c r="F122" s="18" t="str">
        <f aca="false">IF(D122="","",IF(Parámetros!$B$6="Calendario",D122+1,WORKDAY.INTL(D122,1,Parámetros!$B$8,Parámetros!$D$12:$D$41)))</f>
        <v/>
      </c>
      <c r="G122" s="12"/>
      <c r="H122" s="6"/>
      <c r="I122" s="12"/>
      <c r="J122" s="6"/>
      <c r="K122" s="12"/>
    </row>
    <row r="123" customFormat="false" ht="15" hidden="false" customHeight="false" outlineLevel="0" collapsed="false">
      <c r="A123" s="6"/>
      <c r="B123" s="24" t="str">
        <f aca="false">IF(A123="","",IFERROR(INDEX(Empleados!$B$5:$B$64,MATCH(A123,Empleados!$A$5:$A$64,0)),"ID no encontrado"))</f>
        <v/>
      </c>
      <c r="C123" s="13"/>
      <c r="D123" s="13"/>
      <c r="E123" s="22" t="str">
        <f aca="false">IF(OR(C123="",D123=""),"",IF(Parámetros!$B$6="Calendario",D123-C123+1,NETWORKDAYS.INTL(C123,D123,Parámetros!$B$8,Parámetros!$D$12:$D$41)))</f>
        <v/>
      </c>
      <c r="F123" s="18" t="str">
        <f aca="false">IF(D123="","",IF(Parámetros!$B$6="Calendario",D123+1,WORKDAY.INTL(D123,1,Parámetros!$B$8,Parámetros!$D$12:$D$41)))</f>
        <v/>
      </c>
      <c r="G123" s="12"/>
      <c r="H123" s="6"/>
      <c r="I123" s="12"/>
      <c r="J123" s="6"/>
      <c r="K123" s="12"/>
    </row>
    <row r="124" customFormat="false" ht="15" hidden="false" customHeight="false" outlineLevel="0" collapsed="false">
      <c r="A124" s="6"/>
      <c r="B124" s="24" t="str">
        <f aca="false">IF(A124="","",IFERROR(INDEX(Empleados!$B$5:$B$64,MATCH(A124,Empleados!$A$5:$A$64,0)),"ID no encontrado"))</f>
        <v/>
      </c>
      <c r="C124" s="13"/>
      <c r="D124" s="13"/>
      <c r="E124" s="22" t="str">
        <f aca="false">IF(OR(C124="",D124=""),"",IF(Parámetros!$B$6="Calendario",D124-C124+1,NETWORKDAYS.INTL(C124,D124,Parámetros!$B$8,Parámetros!$D$12:$D$41)))</f>
        <v/>
      </c>
      <c r="F124" s="18" t="str">
        <f aca="false">IF(D124="","",IF(Parámetros!$B$6="Calendario",D124+1,WORKDAY.INTL(D124,1,Parámetros!$B$8,Parámetros!$D$12:$D$41)))</f>
        <v/>
      </c>
      <c r="G124" s="12"/>
      <c r="H124" s="6"/>
      <c r="I124" s="12"/>
      <c r="J124" s="6"/>
      <c r="K124" s="12"/>
    </row>
    <row r="125" customFormat="false" ht="15" hidden="false" customHeight="false" outlineLevel="0" collapsed="false">
      <c r="A125" s="6"/>
      <c r="B125" s="24" t="str">
        <f aca="false">IF(A125="","",IFERROR(INDEX(Empleados!$B$5:$B$64,MATCH(A125,Empleados!$A$5:$A$64,0)),"ID no encontrado"))</f>
        <v/>
      </c>
      <c r="C125" s="13"/>
      <c r="D125" s="13"/>
      <c r="E125" s="22" t="str">
        <f aca="false">IF(OR(C125="",D125=""),"",IF(Parámetros!$B$6="Calendario",D125-C125+1,NETWORKDAYS.INTL(C125,D125,Parámetros!$B$8,Parámetros!$D$12:$D$41)))</f>
        <v/>
      </c>
      <c r="F125" s="18" t="str">
        <f aca="false">IF(D125="","",IF(Parámetros!$B$6="Calendario",D125+1,WORKDAY.INTL(D125,1,Parámetros!$B$8,Parámetros!$D$12:$D$41)))</f>
        <v/>
      </c>
      <c r="G125" s="12"/>
      <c r="H125" s="6"/>
      <c r="I125" s="12"/>
      <c r="J125" s="6"/>
      <c r="K125" s="12"/>
    </row>
    <row r="126" customFormat="false" ht="15" hidden="false" customHeight="false" outlineLevel="0" collapsed="false">
      <c r="A126" s="6"/>
      <c r="B126" s="24" t="str">
        <f aca="false">IF(A126="","",IFERROR(INDEX(Empleados!$B$5:$B$64,MATCH(A126,Empleados!$A$5:$A$64,0)),"ID no encontrado"))</f>
        <v/>
      </c>
      <c r="C126" s="13"/>
      <c r="D126" s="13"/>
      <c r="E126" s="22" t="str">
        <f aca="false">IF(OR(C126="",D126=""),"",IF(Parámetros!$B$6="Calendario",D126-C126+1,NETWORKDAYS.INTL(C126,D126,Parámetros!$B$8,Parámetros!$D$12:$D$41)))</f>
        <v/>
      </c>
      <c r="F126" s="18" t="str">
        <f aca="false">IF(D126="","",IF(Parámetros!$B$6="Calendario",D126+1,WORKDAY.INTL(D126,1,Parámetros!$B$8,Parámetros!$D$12:$D$41)))</f>
        <v/>
      </c>
      <c r="G126" s="12"/>
      <c r="H126" s="6"/>
      <c r="I126" s="12"/>
      <c r="J126" s="6"/>
      <c r="K126" s="12"/>
    </row>
    <row r="127" customFormat="false" ht="15" hidden="false" customHeight="false" outlineLevel="0" collapsed="false">
      <c r="A127" s="6"/>
      <c r="B127" s="24" t="str">
        <f aca="false">IF(A127="","",IFERROR(INDEX(Empleados!$B$5:$B$64,MATCH(A127,Empleados!$A$5:$A$64,0)),"ID no encontrado"))</f>
        <v/>
      </c>
      <c r="C127" s="13"/>
      <c r="D127" s="13"/>
      <c r="E127" s="22" t="str">
        <f aca="false">IF(OR(C127="",D127=""),"",IF(Parámetros!$B$6="Calendario",D127-C127+1,NETWORKDAYS.INTL(C127,D127,Parámetros!$B$8,Parámetros!$D$12:$D$41)))</f>
        <v/>
      </c>
      <c r="F127" s="18" t="str">
        <f aca="false">IF(D127="","",IF(Parámetros!$B$6="Calendario",D127+1,WORKDAY.INTL(D127,1,Parámetros!$B$8,Parámetros!$D$12:$D$41)))</f>
        <v/>
      </c>
      <c r="G127" s="12"/>
      <c r="H127" s="6"/>
      <c r="I127" s="12"/>
      <c r="J127" s="6"/>
      <c r="K127" s="12"/>
    </row>
    <row r="128" customFormat="false" ht="15" hidden="false" customHeight="false" outlineLevel="0" collapsed="false">
      <c r="A128" s="6"/>
      <c r="B128" s="24" t="str">
        <f aca="false">IF(A128="","",IFERROR(INDEX(Empleados!$B$5:$B$64,MATCH(A128,Empleados!$A$5:$A$64,0)),"ID no encontrado"))</f>
        <v/>
      </c>
      <c r="C128" s="13"/>
      <c r="D128" s="13"/>
      <c r="E128" s="22" t="str">
        <f aca="false">IF(OR(C128="",D128=""),"",IF(Parámetros!$B$6="Calendario",D128-C128+1,NETWORKDAYS.INTL(C128,D128,Parámetros!$B$8,Parámetros!$D$12:$D$41)))</f>
        <v/>
      </c>
      <c r="F128" s="18" t="str">
        <f aca="false">IF(D128="","",IF(Parámetros!$B$6="Calendario",D128+1,WORKDAY.INTL(D128,1,Parámetros!$B$8,Parámetros!$D$12:$D$41)))</f>
        <v/>
      </c>
      <c r="G128" s="12"/>
      <c r="H128" s="6"/>
      <c r="I128" s="12"/>
      <c r="J128" s="6"/>
      <c r="K128" s="12"/>
    </row>
    <row r="129" customFormat="false" ht="15" hidden="false" customHeight="false" outlineLevel="0" collapsed="false">
      <c r="A129" s="6"/>
      <c r="B129" s="24" t="str">
        <f aca="false">IF(A129="","",IFERROR(INDEX(Empleados!$B$5:$B$64,MATCH(A129,Empleados!$A$5:$A$64,0)),"ID no encontrado"))</f>
        <v/>
      </c>
      <c r="C129" s="13"/>
      <c r="D129" s="13"/>
      <c r="E129" s="22" t="str">
        <f aca="false">IF(OR(C129="",D129=""),"",IF(Parámetros!$B$6="Calendario",D129-C129+1,NETWORKDAYS.INTL(C129,D129,Parámetros!$B$8,Parámetros!$D$12:$D$41)))</f>
        <v/>
      </c>
      <c r="F129" s="18" t="str">
        <f aca="false">IF(D129="","",IF(Parámetros!$B$6="Calendario",D129+1,WORKDAY.INTL(D129,1,Parámetros!$B$8,Parámetros!$D$12:$D$41)))</f>
        <v/>
      </c>
      <c r="G129" s="12"/>
      <c r="H129" s="6"/>
      <c r="I129" s="12"/>
      <c r="J129" s="6"/>
      <c r="K129" s="12"/>
    </row>
    <row r="130" customFormat="false" ht="15" hidden="false" customHeight="false" outlineLevel="0" collapsed="false">
      <c r="A130" s="6"/>
      <c r="B130" s="24" t="str">
        <f aca="false">IF(A130="","",IFERROR(INDEX(Empleados!$B$5:$B$64,MATCH(A130,Empleados!$A$5:$A$64,0)),"ID no encontrado"))</f>
        <v/>
      </c>
      <c r="C130" s="13"/>
      <c r="D130" s="13"/>
      <c r="E130" s="22" t="str">
        <f aca="false">IF(OR(C130="",D130=""),"",IF(Parámetros!$B$6="Calendario",D130-C130+1,NETWORKDAYS.INTL(C130,D130,Parámetros!$B$8,Parámetros!$D$12:$D$41)))</f>
        <v/>
      </c>
      <c r="F130" s="18" t="str">
        <f aca="false">IF(D130="","",IF(Parámetros!$B$6="Calendario",D130+1,WORKDAY.INTL(D130,1,Parámetros!$B$8,Parámetros!$D$12:$D$41)))</f>
        <v/>
      </c>
      <c r="G130" s="12"/>
      <c r="H130" s="6"/>
      <c r="I130" s="12"/>
      <c r="J130" s="6"/>
      <c r="K130" s="12"/>
    </row>
    <row r="131" customFormat="false" ht="15" hidden="false" customHeight="false" outlineLevel="0" collapsed="false">
      <c r="A131" s="6"/>
      <c r="B131" s="24" t="str">
        <f aca="false">IF(A131="","",IFERROR(INDEX(Empleados!$B$5:$B$64,MATCH(A131,Empleados!$A$5:$A$64,0)),"ID no encontrado"))</f>
        <v/>
      </c>
      <c r="C131" s="13"/>
      <c r="D131" s="13"/>
      <c r="E131" s="22" t="str">
        <f aca="false">IF(OR(C131="",D131=""),"",IF(Parámetros!$B$6="Calendario",D131-C131+1,NETWORKDAYS.INTL(C131,D131,Parámetros!$B$8,Parámetros!$D$12:$D$41)))</f>
        <v/>
      </c>
      <c r="F131" s="18" t="str">
        <f aca="false">IF(D131="","",IF(Parámetros!$B$6="Calendario",D131+1,WORKDAY.INTL(D131,1,Parámetros!$B$8,Parámetros!$D$12:$D$41)))</f>
        <v/>
      </c>
      <c r="G131" s="12"/>
      <c r="H131" s="6"/>
      <c r="I131" s="12"/>
      <c r="J131" s="6"/>
      <c r="K131" s="12"/>
    </row>
    <row r="132" customFormat="false" ht="15" hidden="false" customHeight="false" outlineLevel="0" collapsed="false">
      <c r="A132" s="6"/>
      <c r="B132" s="24" t="str">
        <f aca="false">IF(A132="","",IFERROR(INDEX(Empleados!$B$5:$B$64,MATCH(A132,Empleados!$A$5:$A$64,0)),"ID no encontrado"))</f>
        <v/>
      </c>
      <c r="C132" s="13"/>
      <c r="D132" s="13"/>
      <c r="E132" s="22" t="str">
        <f aca="false">IF(OR(C132="",D132=""),"",IF(Parámetros!$B$6="Calendario",D132-C132+1,NETWORKDAYS.INTL(C132,D132,Parámetros!$B$8,Parámetros!$D$12:$D$41)))</f>
        <v/>
      </c>
      <c r="F132" s="18" t="str">
        <f aca="false">IF(D132="","",IF(Parámetros!$B$6="Calendario",D132+1,WORKDAY.INTL(D132,1,Parámetros!$B$8,Parámetros!$D$12:$D$41)))</f>
        <v/>
      </c>
      <c r="G132" s="12"/>
      <c r="H132" s="6"/>
      <c r="I132" s="12"/>
      <c r="J132" s="6"/>
      <c r="K132" s="12"/>
    </row>
    <row r="133" customFormat="false" ht="15" hidden="false" customHeight="false" outlineLevel="0" collapsed="false">
      <c r="A133" s="6"/>
      <c r="B133" s="24" t="str">
        <f aca="false">IF(A133="","",IFERROR(INDEX(Empleados!$B$5:$B$64,MATCH(A133,Empleados!$A$5:$A$64,0)),"ID no encontrado"))</f>
        <v/>
      </c>
      <c r="C133" s="13"/>
      <c r="D133" s="13"/>
      <c r="E133" s="22" t="str">
        <f aca="false">IF(OR(C133="",D133=""),"",IF(Parámetros!$B$6="Calendario",D133-C133+1,NETWORKDAYS.INTL(C133,D133,Parámetros!$B$8,Parámetros!$D$12:$D$41)))</f>
        <v/>
      </c>
      <c r="F133" s="18" t="str">
        <f aca="false">IF(D133="","",IF(Parámetros!$B$6="Calendario",D133+1,WORKDAY.INTL(D133,1,Parámetros!$B$8,Parámetros!$D$12:$D$41)))</f>
        <v/>
      </c>
      <c r="G133" s="12"/>
      <c r="H133" s="6"/>
      <c r="I133" s="12"/>
      <c r="J133" s="6"/>
      <c r="K133" s="12"/>
    </row>
    <row r="134" customFormat="false" ht="15" hidden="false" customHeight="false" outlineLevel="0" collapsed="false">
      <c r="A134" s="6"/>
      <c r="B134" s="24" t="str">
        <f aca="false">IF(A134="","",IFERROR(INDEX(Empleados!$B$5:$B$64,MATCH(A134,Empleados!$A$5:$A$64,0)),"ID no encontrado"))</f>
        <v/>
      </c>
      <c r="C134" s="13"/>
      <c r="D134" s="13"/>
      <c r="E134" s="22" t="str">
        <f aca="false">IF(OR(C134="",D134=""),"",IF(Parámetros!$B$6="Calendario",D134-C134+1,NETWORKDAYS.INTL(C134,D134,Parámetros!$B$8,Parámetros!$D$12:$D$41)))</f>
        <v/>
      </c>
      <c r="F134" s="18" t="str">
        <f aca="false">IF(D134="","",IF(Parámetros!$B$6="Calendario",D134+1,WORKDAY.INTL(D134,1,Parámetros!$B$8,Parámetros!$D$12:$D$41)))</f>
        <v/>
      </c>
      <c r="G134" s="12"/>
      <c r="H134" s="6"/>
      <c r="I134" s="12"/>
      <c r="J134" s="6"/>
      <c r="K134" s="12"/>
    </row>
    <row r="135" customFormat="false" ht="15" hidden="false" customHeight="false" outlineLevel="0" collapsed="false">
      <c r="A135" s="6"/>
      <c r="B135" s="24" t="str">
        <f aca="false">IF(A135="","",IFERROR(INDEX(Empleados!$B$5:$B$64,MATCH(A135,Empleados!$A$5:$A$64,0)),"ID no encontrado"))</f>
        <v/>
      </c>
      <c r="C135" s="13"/>
      <c r="D135" s="13"/>
      <c r="E135" s="22" t="str">
        <f aca="false">IF(OR(C135="",D135=""),"",IF(Parámetros!$B$6="Calendario",D135-C135+1,NETWORKDAYS.INTL(C135,D135,Parámetros!$B$8,Parámetros!$D$12:$D$41)))</f>
        <v/>
      </c>
      <c r="F135" s="18" t="str">
        <f aca="false">IF(D135="","",IF(Parámetros!$B$6="Calendario",D135+1,WORKDAY.INTL(D135,1,Parámetros!$B$8,Parámetros!$D$12:$D$41)))</f>
        <v/>
      </c>
      <c r="G135" s="12"/>
      <c r="H135" s="6"/>
      <c r="I135" s="12"/>
      <c r="J135" s="6"/>
      <c r="K135" s="12"/>
    </row>
    <row r="136" customFormat="false" ht="15" hidden="false" customHeight="false" outlineLevel="0" collapsed="false">
      <c r="A136" s="6"/>
      <c r="B136" s="24" t="str">
        <f aca="false">IF(A136="","",IFERROR(INDEX(Empleados!$B$5:$B$64,MATCH(A136,Empleados!$A$5:$A$64,0)),"ID no encontrado"))</f>
        <v/>
      </c>
      <c r="C136" s="13"/>
      <c r="D136" s="13"/>
      <c r="E136" s="22" t="str">
        <f aca="false">IF(OR(C136="",D136=""),"",IF(Parámetros!$B$6="Calendario",D136-C136+1,NETWORKDAYS.INTL(C136,D136,Parámetros!$B$8,Parámetros!$D$12:$D$41)))</f>
        <v/>
      </c>
      <c r="F136" s="18" t="str">
        <f aca="false">IF(D136="","",IF(Parámetros!$B$6="Calendario",D136+1,WORKDAY.INTL(D136,1,Parámetros!$B$8,Parámetros!$D$12:$D$41)))</f>
        <v/>
      </c>
      <c r="G136" s="12"/>
      <c r="H136" s="6"/>
      <c r="I136" s="12"/>
      <c r="J136" s="6"/>
      <c r="K136" s="12"/>
    </row>
    <row r="137" customFormat="false" ht="15" hidden="false" customHeight="false" outlineLevel="0" collapsed="false">
      <c r="A137" s="6"/>
      <c r="B137" s="24" t="str">
        <f aca="false">IF(A137="","",IFERROR(INDEX(Empleados!$B$5:$B$64,MATCH(A137,Empleados!$A$5:$A$64,0)),"ID no encontrado"))</f>
        <v/>
      </c>
      <c r="C137" s="13"/>
      <c r="D137" s="13"/>
      <c r="E137" s="22" t="str">
        <f aca="false">IF(OR(C137="",D137=""),"",IF(Parámetros!$B$6="Calendario",D137-C137+1,NETWORKDAYS.INTL(C137,D137,Parámetros!$B$8,Parámetros!$D$12:$D$41)))</f>
        <v/>
      </c>
      <c r="F137" s="18" t="str">
        <f aca="false">IF(D137="","",IF(Parámetros!$B$6="Calendario",D137+1,WORKDAY.INTL(D137,1,Parámetros!$B$8,Parámetros!$D$12:$D$41)))</f>
        <v/>
      </c>
      <c r="G137" s="12"/>
      <c r="H137" s="6"/>
      <c r="I137" s="12"/>
      <c r="J137" s="6"/>
      <c r="K137" s="12"/>
    </row>
    <row r="138" customFormat="false" ht="15" hidden="false" customHeight="false" outlineLevel="0" collapsed="false">
      <c r="A138" s="6"/>
      <c r="B138" s="24" t="str">
        <f aca="false">IF(A138="","",IFERROR(INDEX(Empleados!$B$5:$B$64,MATCH(A138,Empleados!$A$5:$A$64,0)),"ID no encontrado"))</f>
        <v/>
      </c>
      <c r="C138" s="13"/>
      <c r="D138" s="13"/>
      <c r="E138" s="22" t="str">
        <f aca="false">IF(OR(C138="",D138=""),"",IF(Parámetros!$B$6="Calendario",D138-C138+1,NETWORKDAYS.INTL(C138,D138,Parámetros!$B$8,Parámetros!$D$12:$D$41)))</f>
        <v/>
      </c>
      <c r="F138" s="18" t="str">
        <f aca="false">IF(D138="","",IF(Parámetros!$B$6="Calendario",D138+1,WORKDAY.INTL(D138,1,Parámetros!$B$8,Parámetros!$D$12:$D$41)))</f>
        <v/>
      </c>
      <c r="G138" s="12"/>
      <c r="H138" s="6"/>
      <c r="I138" s="12"/>
      <c r="J138" s="6"/>
      <c r="K138" s="12"/>
    </row>
    <row r="139" customFormat="false" ht="15" hidden="false" customHeight="false" outlineLevel="0" collapsed="false">
      <c r="A139" s="6"/>
      <c r="B139" s="24" t="str">
        <f aca="false">IF(A139="","",IFERROR(INDEX(Empleados!$B$5:$B$64,MATCH(A139,Empleados!$A$5:$A$64,0)),"ID no encontrado"))</f>
        <v/>
      </c>
      <c r="C139" s="13"/>
      <c r="D139" s="13"/>
      <c r="E139" s="22" t="str">
        <f aca="false">IF(OR(C139="",D139=""),"",IF(Parámetros!$B$6="Calendario",D139-C139+1,NETWORKDAYS.INTL(C139,D139,Parámetros!$B$8,Parámetros!$D$12:$D$41)))</f>
        <v/>
      </c>
      <c r="F139" s="18" t="str">
        <f aca="false">IF(D139="","",IF(Parámetros!$B$6="Calendario",D139+1,WORKDAY.INTL(D139,1,Parámetros!$B$8,Parámetros!$D$12:$D$41)))</f>
        <v/>
      </c>
      <c r="G139" s="12"/>
      <c r="H139" s="6"/>
      <c r="I139" s="12"/>
      <c r="J139" s="6"/>
      <c r="K139" s="12"/>
    </row>
    <row r="140" customFormat="false" ht="15" hidden="false" customHeight="false" outlineLevel="0" collapsed="false">
      <c r="A140" s="6"/>
      <c r="B140" s="24" t="str">
        <f aca="false">IF(A140="","",IFERROR(INDEX(Empleados!$B$5:$B$64,MATCH(A140,Empleados!$A$5:$A$64,0)),"ID no encontrado"))</f>
        <v/>
      </c>
      <c r="C140" s="13"/>
      <c r="D140" s="13"/>
      <c r="E140" s="22" t="str">
        <f aca="false">IF(OR(C140="",D140=""),"",IF(Parámetros!$B$6="Calendario",D140-C140+1,NETWORKDAYS.INTL(C140,D140,Parámetros!$B$8,Parámetros!$D$12:$D$41)))</f>
        <v/>
      </c>
      <c r="F140" s="18" t="str">
        <f aca="false">IF(D140="","",IF(Parámetros!$B$6="Calendario",D140+1,WORKDAY.INTL(D140,1,Parámetros!$B$8,Parámetros!$D$12:$D$41)))</f>
        <v/>
      </c>
      <c r="G140" s="12"/>
      <c r="H140" s="6"/>
      <c r="I140" s="12"/>
      <c r="J140" s="6"/>
      <c r="K140" s="12"/>
    </row>
    <row r="141" customFormat="false" ht="15" hidden="false" customHeight="false" outlineLevel="0" collapsed="false">
      <c r="A141" s="6"/>
      <c r="B141" s="24" t="str">
        <f aca="false">IF(A141="","",IFERROR(INDEX(Empleados!$B$5:$B$64,MATCH(A141,Empleados!$A$5:$A$64,0)),"ID no encontrado"))</f>
        <v/>
      </c>
      <c r="C141" s="13"/>
      <c r="D141" s="13"/>
      <c r="E141" s="22" t="str">
        <f aca="false">IF(OR(C141="",D141=""),"",IF(Parámetros!$B$6="Calendario",D141-C141+1,NETWORKDAYS.INTL(C141,D141,Parámetros!$B$8,Parámetros!$D$12:$D$41)))</f>
        <v/>
      </c>
      <c r="F141" s="18" t="str">
        <f aca="false">IF(D141="","",IF(Parámetros!$B$6="Calendario",D141+1,WORKDAY.INTL(D141,1,Parámetros!$B$8,Parámetros!$D$12:$D$41)))</f>
        <v/>
      </c>
      <c r="G141" s="12"/>
      <c r="H141" s="6"/>
      <c r="I141" s="12"/>
      <c r="J141" s="6"/>
      <c r="K141" s="12"/>
    </row>
    <row r="142" customFormat="false" ht="15" hidden="false" customHeight="false" outlineLevel="0" collapsed="false">
      <c r="A142" s="6"/>
      <c r="B142" s="24" t="str">
        <f aca="false">IF(A142="","",IFERROR(INDEX(Empleados!$B$5:$B$64,MATCH(A142,Empleados!$A$5:$A$64,0)),"ID no encontrado"))</f>
        <v/>
      </c>
      <c r="C142" s="13"/>
      <c r="D142" s="13"/>
      <c r="E142" s="22" t="str">
        <f aca="false">IF(OR(C142="",D142=""),"",IF(Parámetros!$B$6="Calendario",D142-C142+1,NETWORKDAYS.INTL(C142,D142,Parámetros!$B$8,Parámetros!$D$12:$D$41)))</f>
        <v/>
      </c>
      <c r="F142" s="18" t="str">
        <f aca="false">IF(D142="","",IF(Parámetros!$B$6="Calendario",D142+1,WORKDAY.INTL(D142,1,Parámetros!$B$8,Parámetros!$D$12:$D$41)))</f>
        <v/>
      </c>
      <c r="G142" s="12"/>
      <c r="H142" s="6"/>
      <c r="I142" s="12"/>
      <c r="J142" s="6"/>
      <c r="K142" s="12"/>
    </row>
    <row r="143" customFormat="false" ht="15" hidden="false" customHeight="false" outlineLevel="0" collapsed="false">
      <c r="A143" s="6"/>
      <c r="B143" s="24" t="str">
        <f aca="false">IF(A143="","",IFERROR(INDEX(Empleados!$B$5:$B$64,MATCH(A143,Empleados!$A$5:$A$64,0)),"ID no encontrado"))</f>
        <v/>
      </c>
      <c r="C143" s="13"/>
      <c r="D143" s="13"/>
      <c r="E143" s="22" t="str">
        <f aca="false">IF(OR(C143="",D143=""),"",IF(Parámetros!$B$6="Calendario",D143-C143+1,NETWORKDAYS.INTL(C143,D143,Parámetros!$B$8,Parámetros!$D$12:$D$41)))</f>
        <v/>
      </c>
      <c r="F143" s="18" t="str">
        <f aca="false">IF(D143="","",IF(Parámetros!$B$6="Calendario",D143+1,WORKDAY.INTL(D143,1,Parámetros!$B$8,Parámetros!$D$12:$D$41)))</f>
        <v/>
      </c>
      <c r="G143" s="12"/>
      <c r="H143" s="6"/>
      <c r="I143" s="12"/>
      <c r="J143" s="6"/>
      <c r="K143" s="12"/>
    </row>
    <row r="144" customFormat="false" ht="15" hidden="false" customHeight="false" outlineLevel="0" collapsed="false">
      <c r="A144" s="6"/>
      <c r="B144" s="24" t="str">
        <f aca="false">IF(A144="","",IFERROR(INDEX(Empleados!$B$5:$B$64,MATCH(A144,Empleados!$A$5:$A$64,0)),"ID no encontrado"))</f>
        <v/>
      </c>
      <c r="C144" s="13"/>
      <c r="D144" s="13"/>
      <c r="E144" s="22" t="str">
        <f aca="false">IF(OR(C144="",D144=""),"",IF(Parámetros!$B$6="Calendario",D144-C144+1,NETWORKDAYS.INTL(C144,D144,Parámetros!$B$8,Parámetros!$D$12:$D$41)))</f>
        <v/>
      </c>
      <c r="F144" s="18" t="str">
        <f aca="false">IF(D144="","",IF(Parámetros!$B$6="Calendario",D144+1,WORKDAY.INTL(D144,1,Parámetros!$B$8,Parámetros!$D$12:$D$41)))</f>
        <v/>
      </c>
      <c r="G144" s="12"/>
      <c r="H144" s="6"/>
      <c r="I144" s="12"/>
      <c r="J144" s="6"/>
      <c r="K144" s="12"/>
    </row>
    <row r="145" customFormat="false" ht="15" hidden="false" customHeight="false" outlineLevel="0" collapsed="false">
      <c r="A145" s="6"/>
      <c r="B145" s="24" t="str">
        <f aca="false">IF(A145="","",IFERROR(INDEX(Empleados!$B$5:$B$64,MATCH(A145,Empleados!$A$5:$A$64,0)),"ID no encontrado"))</f>
        <v/>
      </c>
      <c r="C145" s="13"/>
      <c r="D145" s="13"/>
      <c r="E145" s="22" t="str">
        <f aca="false">IF(OR(C145="",D145=""),"",IF(Parámetros!$B$6="Calendario",D145-C145+1,NETWORKDAYS.INTL(C145,D145,Parámetros!$B$8,Parámetros!$D$12:$D$41)))</f>
        <v/>
      </c>
      <c r="F145" s="18" t="str">
        <f aca="false">IF(D145="","",IF(Parámetros!$B$6="Calendario",D145+1,WORKDAY.INTL(D145,1,Parámetros!$B$8,Parámetros!$D$12:$D$41)))</f>
        <v/>
      </c>
      <c r="G145" s="12"/>
      <c r="H145" s="6"/>
      <c r="I145" s="12"/>
      <c r="J145" s="6"/>
      <c r="K145" s="12"/>
    </row>
    <row r="146" customFormat="false" ht="15" hidden="false" customHeight="false" outlineLevel="0" collapsed="false">
      <c r="A146" s="6"/>
      <c r="B146" s="24" t="str">
        <f aca="false">IF(A146="","",IFERROR(INDEX(Empleados!$B$5:$B$64,MATCH(A146,Empleados!$A$5:$A$64,0)),"ID no encontrado"))</f>
        <v/>
      </c>
      <c r="C146" s="13"/>
      <c r="D146" s="13"/>
      <c r="E146" s="22" t="str">
        <f aca="false">IF(OR(C146="",D146=""),"",IF(Parámetros!$B$6="Calendario",D146-C146+1,NETWORKDAYS.INTL(C146,D146,Parámetros!$B$8,Parámetros!$D$12:$D$41)))</f>
        <v/>
      </c>
      <c r="F146" s="18" t="str">
        <f aca="false">IF(D146="","",IF(Parámetros!$B$6="Calendario",D146+1,WORKDAY.INTL(D146,1,Parámetros!$B$8,Parámetros!$D$12:$D$41)))</f>
        <v/>
      </c>
      <c r="G146" s="12"/>
      <c r="H146" s="6"/>
      <c r="I146" s="12"/>
      <c r="J146" s="6"/>
      <c r="K146" s="12"/>
    </row>
    <row r="147" customFormat="false" ht="15" hidden="false" customHeight="false" outlineLevel="0" collapsed="false">
      <c r="A147" s="6"/>
      <c r="B147" s="24" t="str">
        <f aca="false">IF(A147="","",IFERROR(INDEX(Empleados!$B$5:$B$64,MATCH(A147,Empleados!$A$5:$A$64,0)),"ID no encontrado"))</f>
        <v/>
      </c>
      <c r="C147" s="13"/>
      <c r="D147" s="13"/>
      <c r="E147" s="22" t="str">
        <f aca="false">IF(OR(C147="",D147=""),"",IF(Parámetros!$B$6="Calendario",D147-C147+1,NETWORKDAYS.INTL(C147,D147,Parámetros!$B$8,Parámetros!$D$12:$D$41)))</f>
        <v/>
      </c>
      <c r="F147" s="18" t="str">
        <f aca="false">IF(D147="","",IF(Parámetros!$B$6="Calendario",D147+1,WORKDAY.INTL(D147,1,Parámetros!$B$8,Parámetros!$D$12:$D$41)))</f>
        <v/>
      </c>
      <c r="G147" s="12"/>
      <c r="H147" s="6"/>
      <c r="I147" s="12"/>
      <c r="J147" s="6"/>
      <c r="K147" s="12"/>
    </row>
    <row r="148" customFormat="false" ht="15" hidden="false" customHeight="false" outlineLevel="0" collapsed="false">
      <c r="A148" s="6"/>
      <c r="B148" s="24" t="str">
        <f aca="false">IF(A148="","",IFERROR(INDEX(Empleados!$B$5:$B$64,MATCH(A148,Empleados!$A$5:$A$64,0)),"ID no encontrado"))</f>
        <v/>
      </c>
      <c r="C148" s="13"/>
      <c r="D148" s="13"/>
      <c r="E148" s="22" t="str">
        <f aca="false">IF(OR(C148="",D148=""),"",IF(Parámetros!$B$6="Calendario",D148-C148+1,NETWORKDAYS.INTL(C148,D148,Parámetros!$B$8,Parámetros!$D$12:$D$41)))</f>
        <v/>
      </c>
      <c r="F148" s="18" t="str">
        <f aca="false">IF(D148="","",IF(Parámetros!$B$6="Calendario",D148+1,WORKDAY.INTL(D148,1,Parámetros!$B$8,Parámetros!$D$12:$D$41)))</f>
        <v/>
      </c>
      <c r="G148" s="12"/>
      <c r="H148" s="6"/>
      <c r="I148" s="12"/>
      <c r="J148" s="6"/>
      <c r="K148" s="12"/>
    </row>
    <row r="149" customFormat="false" ht="15" hidden="false" customHeight="false" outlineLevel="0" collapsed="false">
      <c r="A149" s="6"/>
      <c r="B149" s="24" t="str">
        <f aca="false">IF(A149="","",IFERROR(INDEX(Empleados!$B$5:$B$64,MATCH(A149,Empleados!$A$5:$A$64,0)),"ID no encontrado"))</f>
        <v/>
      </c>
      <c r="C149" s="13"/>
      <c r="D149" s="13"/>
      <c r="E149" s="22" t="str">
        <f aca="false">IF(OR(C149="",D149=""),"",IF(Parámetros!$B$6="Calendario",D149-C149+1,NETWORKDAYS.INTL(C149,D149,Parámetros!$B$8,Parámetros!$D$12:$D$41)))</f>
        <v/>
      </c>
      <c r="F149" s="18" t="str">
        <f aca="false">IF(D149="","",IF(Parámetros!$B$6="Calendario",D149+1,WORKDAY.INTL(D149,1,Parámetros!$B$8,Parámetros!$D$12:$D$41)))</f>
        <v/>
      </c>
      <c r="G149" s="12"/>
      <c r="H149" s="6"/>
      <c r="I149" s="12"/>
      <c r="J149" s="6"/>
      <c r="K149" s="12"/>
    </row>
    <row r="150" customFormat="false" ht="15" hidden="false" customHeight="false" outlineLevel="0" collapsed="false">
      <c r="A150" s="6"/>
      <c r="B150" s="24" t="str">
        <f aca="false">IF(A150="","",IFERROR(INDEX(Empleados!$B$5:$B$64,MATCH(A150,Empleados!$A$5:$A$64,0)),"ID no encontrado"))</f>
        <v/>
      </c>
      <c r="C150" s="13"/>
      <c r="D150" s="13"/>
      <c r="E150" s="22" t="str">
        <f aca="false">IF(OR(C150="",D150=""),"",IF(Parámetros!$B$6="Calendario",D150-C150+1,NETWORKDAYS.INTL(C150,D150,Parámetros!$B$8,Parámetros!$D$12:$D$41)))</f>
        <v/>
      </c>
      <c r="F150" s="18" t="str">
        <f aca="false">IF(D150="","",IF(Parámetros!$B$6="Calendario",D150+1,WORKDAY.INTL(D150,1,Parámetros!$B$8,Parámetros!$D$12:$D$41)))</f>
        <v/>
      </c>
      <c r="G150" s="12"/>
      <c r="H150" s="6"/>
      <c r="I150" s="12"/>
      <c r="J150" s="6"/>
      <c r="K150" s="12"/>
    </row>
    <row r="151" customFormat="false" ht="15" hidden="false" customHeight="false" outlineLevel="0" collapsed="false">
      <c r="A151" s="6"/>
      <c r="B151" s="24" t="str">
        <f aca="false">IF(A151="","",IFERROR(INDEX(Empleados!$B$5:$B$64,MATCH(A151,Empleados!$A$5:$A$64,0)),"ID no encontrado"))</f>
        <v/>
      </c>
      <c r="C151" s="13"/>
      <c r="D151" s="13"/>
      <c r="E151" s="22" t="str">
        <f aca="false">IF(OR(C151="",D151=""),"",IF(Parámetros!$B$6="Calendario",D151-C151+1,NETWORKDAYS.INTL(C151,D151,Parámetros!$B$8,Parámetros!$D$12:$D$41)))</f>
        <v/>
      </c>
      <c r="F151" s="18" t="str">
        <f aca="false">IF(D151="","",IF(Parámetros!$B$6="Calendario",D151+1,WORKDAY.INTL(D151,1,Parámetros!$B$8,Parámetros!$D$12:$D$41)))</f>
        <v/>
      </c>
      <c r="G151" s="12"/>
      <c r="H151" s="6"/>
      <c r="I151" s="12"/>
      <c r="J151" s="6"/>
      <c r="K151" s="12"/>
    </row>
    <row r="152" customFormat="false" ht="15" hidden="false" customHeight="false" outlineLevel="0" collapsed="false">
      <c r="A152" s="6"/>
      <c r="B152" s="24" t="str">
        <f aca="false">IF(A152="","",IFERROR(INDEX(Empleados!$B$5:$B$64,MATCH(A152,Empleados!$A$5:$A$64,0)),"ID no encontrado"))</f>
        <v/>
      </c>
      <c r="C152" s="13"/>
      <c r="D152" s="13"/>
      <c r="E152" s="22" t="str">
        <f aca="false">IF(OR(C152="",D152=""),"",IF(Parámetros!$B$6="Calendario",D152-C152+1,NETWORKDAYS.INTL(C152,D152,Parámetros!$B$8,Parámetros!$D$12:$D$41)))</f>
        <v/>
      </c>
      <c r="F152" s="18" t="str">
        <f aca="false">IF(D152="","",IF(Parámetros!$B$6="Calendario",D152+1,WORKDAY.INTL(D152,1,Parámetros!$B$8,Parámetros!$D$12:$D$41)))</f>
        <v/>
      </c>
      <c r="G152" s="12"/>
      <c r="H152" s="6"/>
      <c r="I152" s="12"/>
      <c r="J152" s="6"/>
      <c r="K152" s="12"/>
    </row>
    <row r="153" customFormat="false" ht="15" hidden="false" customHeight="false" outlineLevel="0" collapsed="false">
      <c r="A153" s="6"/>
      <c r="B153" s="24" t="str">
        <f aca="false">IF(A153="","",IFERROR(INDEX(Empleados!$B$5:$B$64,MATCH(A153,Empleados!$A$5:$A$64,0)),"ID no encontrado"))</f>
        <v/>
      </c>
      <c r="C153" s="13"/>
      <c r="D153" s="13"/>
      <c r="E153" s="22" t="str">
        <f aca="false">IF(OR(C153="",D153=""),"",IF(Parámetros!$B$6="Calendario",D153-C153+1,NETWORKDAYS.INTL(C153,D153,Parámetros!$B$8,Parámetros!$D$12:$D$41)))</f>
        <v/>
      </c>
      <c r="F153" s="18" t="str">
        <f aca="false">IF(D153="","",IF(Parámetros!$B$6="Calendario",D153+1,WORKDAY.INTL(D153,1,Parámetros!$B$8,Parámetros!$D$12:$D$41)))</f>
        <v/>
      </c>
      <c r="G153" s="12"/>
      <c r="H153" s="6"/>
      <c r="I153" s="12"/>
      <c r="J153" s="6"/>
      <c r="K153" s="12"/>
    </row>
    <row r="154" customFormat="false" ht="15" hidden="false" customHeight="false" outlineLevel="0" collapsed="false">
      <c r="A154" s="6"/>
      <c r="B154" s="24" t="str">
        <f aca="false">IF(A154="","",IFERROR(INDEX(Empleados!$B$5:$B$64,MATCH(A154,Empleados!$A$5:$A$64,0)),"ID no encontrado"))</f>
        <v/>
      </c>
      <c r="C154" s="13"/>
      <c r="D154" s="13"/>
      <c r="E154" s="22" t="str">
        <f aca="false">IF(OR(C154="",D154=""),"",IF(Parámetros!$B$6="Calendario",D154-C154+1,NETWORKDAYS.INTL(C154,D154,Parámetros!$B$8,Parámetros!$D$12:$D$41)))</f>
        <v/>
      </c>
      <c r="F154" s="18" t="str">
        <f aca="false">IF(D154="","",IF(Parámetros!$B$6="Calendario",D154+1,WORKDAY.INTL(D154,1,Parámetros!$B$8,Parámetros!$D$12:$D$41)))</f>
        <v/>
      </c>
      <c r="G154" s="12"/>
      <c r="H154" s="6"/>
      <c r="I154" s="12"/>
      <c r="J154" s="6"/>
      <c r="K154" s="12"/>
    </row>
    <row r="155" customFormat="false" ht="15" hidden="false" customHeight="false" outlineLevel="0" collapsed="false">
      <c r="A155" s="6"/>
      <c r="B155" s="24" t="str">
        <f aca="false">IF(A155="","",IFERROR(INDEX(Empleados!$B$5:$B$64,MATCH(A155,Empleados!$A$5:$A$64,0)),"ID no encontrado"))</f>
        <v/>
      </c>
      <c r="C155" s="13"/>
      <c r="D155" s="13"/>
      <c r="E155" s="22" t="str">
        <f aca="false">IF(OR(C155="",D155=""),"",IF(Parámetros!$B$6="Calendario",D155-C155+1,NETWORKDAYS.INTL(C155,D155,Parámetros!$B$8,Parámetros!$D$12:$D$41)))</f>
        <v/>
      </c>
      <c r="F155" s="18" t="str">
        <f aca="false">IF(D155="","",IF(Parámetros!$B$6="Calendario",D155+1,WORKDAY.INTL(D155,1,Parámetros!$B$8,Parámetros!$D$12:$D$41)))</f>
        <v/>
      </c>
      <c r="G155" s="12"/>
      <c r="H155" s="6"/>
      <c r="I155" s="12"/>
      <c r="J155" s="6"/>
      <c r="K155" s="12"/>
    </row>
    <row r="156" customFormat="false" ht="15" hidden="false" customHeight="false" outlineLevel="0" collapsed="false">
      <c r="A156" s="6"/>
      <c r="B156" s="24" t="str">
        <f aca="false">IF(A156="","",IFERROR(INDEX(Empleados!$B$5:$B$64,MATCH(A156,Empleados!$A$5:$A$64,0)),"ID no encontrado"))</f>
        <v/>
      </c>
      <c r="C156" s="13"/>
      <c r="D156" s="13"/>
      <c r="E156" s="22" t="str">
        <f aca="false">IF(OR(C156="",D156=""),"",IF(Parámetros!$B$6="Calendario",D156-C156+1,NETWORKDAYS.INTL(C156,D156,Parámetros!$B$8,Parámetros!$D$12:$D$41)))</f>
        <v/>
      </c>
      <c r="F156" s="18" t="str">
        <f aca="false">IF(D156="","",IF(Parámetros!$B$6="Calendario",D156+1,WORKDAY.INTL(D156,1,Parámetros!$B$8,Parámetros!$D$12:$D$41)))</f>
        <v/>
      </c>
      <c r="G156" s="12"/>
      <c r="H156" s="6"/>
      <c r="I156" s="12"/>
      <c r="J156" s="6"/>
      <c r="K156" s="12"/>
    </row>
    <row r="157" customFormat="false" ht="15" hidden="false" customHeight="false" outlineLevel="0" collapsed="false">
      <c r="A157" s="6"/>
      <c r="B157" s="24" t="str">
        <f aca="false">IF(A157="","",IFERROR(INDEX(Empleados!$B$5:$B$64,MATCH(A157,Empleados!$A$5:$A$64,0)),"ID no encontrado"))</f>
        <v/>
      </c>
      <c r="C157" s="13"/>
      <c r="D157" s="13"/>
      <c r="E157" s="22" t="str">
        <f aca="false">IF(OR(C157="",D157=""),"",IF(Parámetros!$B$6="Calendario",D157-C157+1,NETWORKDAYS.INTL(C157,D157,Parámetros!$B$8,Parámetros!$D$12:$D$41)))</f>
        <v/>
      </c>
      <c r="F157" s="18" t="str">
        <f aca="false">IF(D157="","",IF(Parámetros!$B$6="Calendario",D157+1,WORKDAY.INTL(D157,1,Parámetros!$B$8,Parámetros!$D$12:$D$41)))</f>
        <v/>
      </c>
      <c r="G157" s="12"/>
      <c r="H157" s="6"/>
      <c r="I157" s="12"/>
      <c r="J157" s="6"/>
      <c r="K157" s="12"/>
    </row>
    <row r="158" customFormat="false" ht="15" hidden="false" customHeight="false" outlineLevel="0" collapsed="false">
      <c r="A158" s="6"/>
      <c r="B158" s="24" t="str">
        <f aca="false">IF(A158="","",IFERROR(INDEX(Empleados!$B$5:$B$64,MATCH(A158,Empleados!$A$5:$A$64,0)),"ID no encontrado"))</f>
        <v/>
      </c>
      <c r="C158" s="13"/>
      <c r="D158" s="13"/>
      <c r="E158" s="22" t="str">
        <f aca="false">IF(OR(C158="",D158=""),"",IF(Parámetros!$B$6="Calendario",D158-C158+1,NETWORKDAYS.INTL(C158,D158,Parámetros!$B$8,Parámetros!$D$12:$D$41)))</f>
        <v/>
      </c>
      <c r="F158" s="18" t="str">
        <f aca="false">IF(D158="","",IF(Parámetros!$B$6="Calendario",D158+1,WORKDAY.INTL(D158,1,Parámetros!$B$8,Parámetros!$D$12:$D$41)))</f>
        <v/>
      </c>
      <c r="G158" s="12"/>
      <c r="H158" s="6"/>
      <c r="I158" s="12"/>
      <c r="J158" s="6"/>
      <c r="K158" s="12"/>
    </row>
    <row r="159" customFormat="false" ht="15" hidden="false" customHeight="false" outlineLevel="0" collapsed="false">
      <c r="A159" s="6"/>
      <c r="B159" s="24" t="str">
        <f aca="false">IF(A159="","",IFERROR(INDEX(Empleados!$B$5:$B$64,MATCH(A159,Empleados!$A$5:$A$64,0)),"ID no encontrado"))</f>
        <v/>
      </c>
      <c r="C159" s="13"/>
      <c r="D159" s="13"/>
      <c r="E159" s="22" t="str">
        <f aca="false">IF(OR(C159="",D159=""),"",IF(Parámetros!$B$6="Calendario",D159-C159+1,NETWORKDAYS.INTL(C159,D159,Parámetros!$B$8,Parámetros!$D$12:$D$41)))</f>
        <v/>
      </c>
      <c r="F159" s="18" t="str">
        <f aca="false">IF(D159="","",IF(Parámetros!$B$6="Calendario",D159+1,WORKDAY.INTL(D159,1,Parámetros!$B$8,Parámetros!$D$12:$D$41)))</f>
        <v/>
      </c>
      <c r="G159" s="12"/>
      <c r="H159" s="6"/>
      <c r="I159" s="12"/>
      <c r="J159" s="6"/>
      <c r="K159" s="12"/>
    </row>
    <row r="160" customFormat="false" ht="15" hidden="false" customHeight="false" outlineLevel="0" collapsed="false">
      <c r="A160" s="6"/>
      <c r="B160" s="24" t="str">
        <f aca="false">IF(A160="","",IFERROR(INDEX(Empleados!$B$5:$B$64,MATCH(A160,Empleados!$A$5:$A$64,0)),"ID no encontrado"))</f>
        <v/>
      </c>
      <c r="C160" s="13"/>
      <c r="D160" s="13"/>
      <c r="E160" s="22" t="str">
        <f aca="false">IF(OR(C160="",D160=""),"",IF(Parámetros!$B$6="Calendario",D160-C160+1,NETWORKDAYS.INTL(C160,D160,Parámetros!$B$8,Parámetros!$D$12:$D$41)))</f>
        <v/>
      </c>
      <c r="F160" s="18" t="str">
        <f aca="false">IF(D160="","",IF(Parámetros!$B$6="Calendario",D160+1,WORKDAY.INTL(D160,1,Parámetros!$B$8,Parámetros!$D$12:$D$41)))</f>
        <v/>
      </c>
      <c r="G160" s="12"/>
      <c r="H160" s="6"/>
      <c r="I160" s="12"/>
      <c r="J160" s="6"/>
      <c r="K160" s="12"/>
    </row>
    <row r="161" customFormat="false" ht="15" hidden="false" customHeight="false" outlineLevel="0" collapsed="false">
      <c r="A161" s="6"/>
      <c r="B161" s="24" t="str">
        <f aca="false">IF(A161="","",IFERROR(INDEX(Empleados!$B$5:$B$64,MATCH(A161,Empleados!$A$5:$A$64,0)),"ID no encontrado"))</f>
        <v/>
      </c>
      <c r="C161" s="13"/>
      <c r="D161" s="13"/>
      <c r="E161" s="22" t="str">
        <f aca="false">IF(OR(C161="",D161=""),"",IF(Parámetros!$B$6="Calendario",D161-C161+1,NETWORKDAYS.INTL(C161,D161,Parámetros!$B$8,Parámetros!$D$12:$D$41)))</f>
        <v/>
      </c>
      <c r="F161" s="18" t="str">
        <f aca="false">IF(D161="","",IF(Parámetros!$B$6="Calendario",D161+1,WORKDAY.INTL(D161,1,Parámetros!$B$8,Parámetros!$D$12:$D$41)))</f>
        <v/>
      </c>
      <c r="G161" s="12"/>
      <c r="H161" s="6"/>
      <c r="I161" s="12"/>
      <c r="J161" s="6"/>
      <c r="K161" s="12"/>
    </row>
    <row r="162" customFormat="false" ht="15" hidden="false" customHeight="false" outlineLevel="0" collapsed="false">
      <c r="A162" s="6"/>
      <c r="B162" s="24" t="str">
        <f aca="false">IF(A162="","",IFERROR(INDEX(Empleados!$B$5:$B$64,MATCH(A162,Empleados!$A$5:$A$64,0)),"ID no encontrado"))</f>
        <v/>
      </c>
      <c r="C162" s="13"/>
      <c r="D162" s="13"/>
      <c r="E162" s="22" t="str">
        <f aca="false">IF(OR(C162="",D162=""),"",IF(Parámetros!$B$6="Calendario",D162-C162+1,NETWORKDAYS.INTL(C162,D162,Parámetros!$B$8,Parámetros!$D$12:$D$41)))</f>
        <v/>
      </c>
      <c r="F162" s="18" t="str">
        <f aca="false">IF(D162="","",IF(Parámetros!$B$6="Calendario",D162+1,WORKDAY.INTL(D162,1,Parámetros!$B$8,Parámetros!$D$12:$D$41)))</f>
        <v/>
      </c>
      <c r="G162" s="12"/>
      <c r="H162" s="6"/>
      <c r="I162" s="12"/>
      <c r="J162" s="6"/>
      <c r="K162" s="12"/>
    </row>
    <row r="163" customFormat="false" ht="15" hidden="false" customHeight="false" outlineLevel="0" collapsed="false">
      <c r="A163" s="6"/>
      <c r="B163" s="24" t="str">
        <f aca="false">IF(A163="","",IFERROR(INDEX(Empleados!$B$5:$B$64,MATCH(A163,Empleados!$A$5:$A$64,0)),"ID no encontrado"))</f>
        <v/>
      </c>
      <c r="C163" s="13"/>
      <c r="D163" s="13"/>
      <c r="E163" s="22" t="str">
        <f aca="false">IF(OR(C163="",D163=""),"",IF(Parámetros!$B$6="Calendario",D163-C163+1,NETWORKDAYS.INTL(C163,D163,Parámetros!$B$8,Parámetros!$D$12:$D$41)))</f>
        <v/>
      </c>
      <c r="F163" s="18" t="str">
        <f aca="false">IF(D163="","",IF(Parámetros!$B$6="Calendario",D163+1,WORKDAY.INTL(D163,1,Parámetros!$B$8,Parámetros!$D$12:$D$41)))</f>
        <v/>
      </c>
      <c r="G163" s="12"/>
      <c r="H163" s="6"/>
      <c r="I163" s="12"/>
      <c r="J163" s="6"/>
      <c r="K163" s="12"/>
    </row>
    <row r="164" customFormat="false" ht="15" hidden="false" customHeight="false" outlineLevel="0" collapsed="false">
      <c r="A164" s="6"/>
      <c r="B164" s="24" t="str">
        <f aca="false">IF(A164="","",IFERROR(INDEX(Empleados!$B$5:$B$64,MATCH(A164,Empleados!$A$5:$A$64,0)),"ID no encontrado"))</f>
        <v/>
      </c>
      <c r="C164" s="13"/>
      <c r="D164" s="13"/>
      <c r="E164" s="22" t="str">
        <f aca="false">IF(OR(C164="",D164=""),"",IF(Parámetros!$B$6="Calendario",D164-C164+1,NETWORKDAYS.INTL(C164,D164,Parámetros!$B$8,Parámetros!$D$12:$D$41)))</f>
        <v/>
      </c>
      <c r="F164" s="18" t="str">
        <f aca="false">IF(D164="","",IF(Parámetros!$B$6="Calendario",D164+1,WORKDAY.INTL(D164,1,Parámetros!$B$8,Parámetros!$D$12:$D$41)))</f>
        <v/>
      </c>
      <c r="G164" s="12"/>
      <c r="H164" s="6"/>
      <c r="I164" s="12"/>
      <c r="J164" s="6"/>
      <c r="K164" s="12"/>
    </row>
    <row r="165" customFormat="false" ht="15" hidden="false" customHeight="false" outlineLevel="0" collapsed="false">
      <c r="A165" s="6"/>
      <c r="B165" s="24" t="str">
        <f aca="false">IF(A165="","",IFERROR(INDEX(Empleados!$B$5:$B$64,MATCH(A165,Empleados!$A$5:$A$64,0)),"ID no encontrado"))</f>
        <v/>
      </c>
      <c r="C165" s="13"/>
      <c r="D165" s="13"/>
      <c r="E165" s="22" t="str">
        <f aca="false">IF(OR(C165="",D165=""),"",IF(Parámetros!$B$6="Calendario",D165-C165+1,NETWORKDAYS.INTL(C165,D165,Parámetros!$B$8,Parámetros!$D$12:$D$41)))</f>
        <v/>
      </c>
      <c r="F165" s="18" t="str">
        <f aca="false">IF(D165="","",IF(Parámetros!$B$6="Calendario",D165+1,WORKDAY.INTL(D165,1,Parámetros!$B$8,Parámetros!$D$12:$D$41)))</f>
        <v/>
      </c>
      <c r="G165" s="12"/>
      <c r="H165" s="6"/>
      <c r="I165" s="12"/>
      <c r="J165" s="6"/>
      <c r="K165" s="12"/>
    </row>
    <row r="166" customFormat="false" ht="15" hidden="false" customHeight="false" outlineLevel="0" collapsed="false">
      <c r="A166" s="6"/>
      <c r="B166" s="24" t="str">
        <f aca="false">IF(A166="","",IFERROR(INDEX(Empleados!$B$5:$B$64,MATCH(A166,Empleados!$A$5:$A$64,0)),"ID no encontrado"))</f>
        <v/>
      </c>
      <c r="C166" s="13"/>
      <c r="D166" s="13"/>
      <c r="E166" s="22" t="str">
        <f aca="false">IF(OR(C166="",D166=""),"",IF(Parámetros!$B$6="Calendario",D166-C166+1,NETWORKDAYS.INTL(C166,D166,Parámetros!$B$8,Parámetros!$D$12:$D$41)))</f>
        <v/>
      </c>
      <c r="F166" s="18" t="str">
        <f aca="false">IF(D166="","",IF(Parámetros!$B$6="Calendario",D166+1,WORKDAY.INTL(D166,1,Parámetros!$B$8,Parámetros!$D$12:$D$41)))</f>
        <v/>
      </c>
      <c r="G166" s="12"/>
      <c r="H166" s="6"/>
      <c r="I166" s="12"/>
      <c r="J166" s="6"/>
      <c r="K166" s="12"/>
    </row>
    <row r="167" customFormat="false" ht="15" hidden="false" customHeight="false" outlineLevel="0" collapsed="false">
      <c r="A167" s="6"/>
      <c r="B167" s="24" t="str">
        <f aca="false">IF(A167="","",IFERROR(INDEX(Empleados!$B$5:$B$64,MATCH(A167,Empleados!$A$5:$A$64,0)),"ID no encontrado"))</f>
        <v/>
      </c>
      <c r="C167" s="13"/>
      <c r="D167" s="13"/>
      <c r="E167" s="22" t="str">
        <f aca="false">IF(OR(C167="",D167=""),"",IF(Parámetros!$B$6="Calendario",D167-C167+1,NETWORKDAYS.INTL(C167,D167,Parámetros!$B$8,Parámetros!$D$12:$D$41)))</f>
        <v/>
      </c>
      <c r="F167" s="18" t="str">
        <f aca="false">IF(D167="","",IF(Parámetros!$B$6="Calendario",D167+1,WORKDAY.INTL(D167,1,Parámetros!$B$8,Parámetros!$D$12:$D$41)))</f>
        <v/>
      </c>
      <c r="G167" s="12"/>
      <c r="H167" s="6"/>
      <c r="I167" s="12"/>
      <c r="J167" s="6"/>
      <c r="K167" s="12"/>
    </row>
    <row r="168" customFormat="false" ht="15" hidden="false" customHeight="false" outlineLevel="0" collapsed="false">
      <c r="A168" s="6"/>
      <c r="B168" s="24" t="str">
        <f aca="false">IF(A168="","",IFERROR(INDEX(Empleados!$B$5:$B$64,MATCH(A168,Empleados!$A$5:$A$64,0)),"ID no encontrado"))</f>
        <v/>
      </c>
      <c r="C168" s="13"/>
      <c r="D168" s="13"/>
      <c r="E168" s="22" t="str">
        <f aca="false">IF(OR(C168="",D168=""),"",IF(Parámetros!$B$6="Calendario",D168-C168+1,NETWORKDAYS.INTL(C168,D168,Parámetros!$B$8,Parámetros!$D$12:$D$41)))</f>
        <v/>
      </c>
      <c r="F168" s="18" t="str">
        <f aca="false">IF(D168="","",IF(Parámetros!$B$6="Calendario",D168+1,WORKDAY.INTL(D168,1,Parámetros!$B$8,Parámetros!$D$12:$D$41)))</f>
        <v/>
      </c>
      <c r="G168" s="12"/>
      <c r="H168" s="6"/>
      <c r="I168" s="12"/>
      <c r="J168" s="6"/>
      <c r="K168" s="12"/>
    </row>
    <row r="169" customFormat="false" ht="15" hidden="false" customHeight="false" outlineLevel="0" collapsed="false">
      <c r="A169" s="6"/>
      <c r="B169" s="24" t="str">
        <f aca="false">IF(A169="","",IFERROR(INDEX(Empleados!$B$5:$B$64,MATCH(A169,Empleados!$A$5:$A$64,0)),"ID no encontrado"))</f>
        <v/>
      </c>
      <c r="C169" s="13"/>
      <c r="D169" s="13"/>
      <c r="E169" s="22" t="str">
        <f aca="false">IF(OR(C169="",D169=""),"",IF(Parámetros!$B$6="Calendario",D169-C169+1,NETWORKDAYS.INTL(C169,D169,Parámetros!$B$8,Parámetros!$D$12:$D$41)))</f>
        <v/>
      </c>
      <c r="F169" s="18" t="str">
        <f aca="false">IF(D169="","",IF(Parámetros!$B$6="Calendario",D169+1,WORKDAY.INTL(D169,1,Parámetros!$B$8,Parámetros!$D$12:$D$41)))</f>
        <v/>
      </c>
      <c r="G169" s="12"/>
      <c r="H169" s="6"/>
      <c r="I169" s="12"/>
      <c r="J169" s="6"/>
      <c r="K169" s="12"/>
    </row>
    <row r="170" customFormat="false" ht="15" hidden="false" customHeight="false" outlineLevel="0" collapsed="false">
      <c r="A170" s="6"/>
      <c r="B170" s="24" t="str">
        <f aca="false">IF(A170="","",IFERROR(INDEX(Empleados!$B$5:$B$64,MATCH(A170,Empleados!$A$5:$A$64,0)),"ID no encontrado"))</f>
        <v/>
      </c>
      <c r="C170" s="13"/>
      <c r="D170" s="13"/>
      <c r="E170" s="22" t="str">
        <f aca="false">IF(OR(C170="",D170=""),"",IF(Parámetros!$B$6="Calendario",D170-C170+1,NETWORKDAYS.INTL(C170,D170,Parámetros!$B$8,Parámetros!$D$12:$D$41)))</f>
        <v/>
      </c>
      <c r="F170" s="18" t="str">
        <f aca="false">IF(D170="","",IF(Parámetros!$B$6="Calendario",D170+1,WORKDAY.INTL(D170,1,Parámetros!$B$8,Parámetros!$D$12:$D$41)))</f>
        <v/>
      </c>
      <c r="G170" s="12"/>
      <c r="H170" s="6"/>
      <c r="I170" s="12"/>
      <c r="J170" s="6"/>
      <c r="K170" s="12"/>
    </row>
    <row r="171" customFormat="false" ht="15" hidden="false" customHeight="false" outlineLevel="0" collapsed="false">
      <c r="A171" s="6"/>
      <c r="B171" s="24" t="str">
        <f aca="false">IF(A171="","",IFERROR(INDEX(Empleados!$B$5:$B$64,MATCH(A171,Empleados!$A$5:$A$64,0)),"ID no encontrado"))</f>
        <v/>
      </c>
      <c r="C171" s="13"/>
      <c r="D171" s="13"/>
      <c r="E171" s="22" t="str">
        <f aca="false">IF(OR(C171="",D171=""),"",IF(Parámetros!$B$6="Calendario",D171-C171+1,NETWORKDAYS.INTL(C171,D171,Parámetros!$B$8,Parámetros!$D$12:$D$41)))</f>
        <v/>
      </c>
      <c r="F171" s="18" t="str">
        <f aca="false">IF(D171="","",IF(Parámetros!$B$6="Calendario",D171+1,WORKDAY.INTL(D171,1,Parámetros!$B$8,Parámetros!$D$12:$D$41)))</f>
        <v/>
      </c>
      <c r="G171" s="12"/>
      <c r="H171" s="6"/>
      <c r="I171" s="12"/>
      <c r="J171" s="6"/>
      <c r="K171" s="12"/>
    </row>
    <row r="172" customFormat="false" ht="15" hidden="false" customHeight="false" outlineLevel="0" collapsed="false">
      <c r="A172" s="6"/>
      <c r="B172" s="24" t="str">
        <f aca="false">IF(A172="","",IFERROR(INDEX(Empleados!$B$5:$B$64,MATCH(A172,Empleados!$A$5:$A$64,0)),"ID no encontrado"))</f>
        <v/>
      </c>
      <c r="C172" s="13"/>
      <c r="D172" s="13"/>
      <c r="E172" s="22" t="str">
        <f aca="false">IF(OR(C172="",D172=""),"",IF(Parámetros!$B$6="Calendario",D172-C172+1,NETWORKDAYS.INTL(C172,D172,Parámetros!$B$8,Parámetros!$D$12:$D$41)))</f>
        <v/>
      </c>
      <c r="F172" s="18" t="str">
        <f aca="false">IF(D172="","",IF(Parámetros!$B$6="Calendario",D172+1,WORKDAY.INTL(D172,1,Parámetros!$B$8,Parámetros!$D$12:$D$41)))</f>
        <v/>
      </c>
      <c r="G172" s="12"/>
      <c r="H172" s="6"/>
      <c r="I172" s="12"/>
      <c r="J172" s="6"/>
      <c r="K172" s="12"/>
    </row>
    <row r="173" customFormat="false" ht="15" hidden="false" customHeight="false" outlineLevel="0" collapsed="false">
      <c r="A173" s="6"/>
      <c r="B173" s="24" t="str">
        <f aca="false">IF(A173="","",IFERROR(INDEX(Empleados!$B$5:$B$64,MATCH(A173,Empleados!$A$5:$A$64,0)),"ID no encontrado"))</f>
        <v/>
      </c>
      <c r="C173" s="13"/>
      <c r="D173" s="13"/>
      <c r="E173" s="22" t="str">
        <f aca="false">IF(OR(C173="",D173=""),"",IF(Parámetros!$B$6="Calendario",D173-C173+1,NETWORKDAYS.INTL(C173,D173,Parámetros!$B$8,Parámetros!$D$12:$D$41)))</f>
        <v/>
      </c>
      <c r="F173" s="18" t="str">
        <f aca="false">IF(D173="","",IF(Parámetros!$B$6="Calendario",D173+1,WORKDAY.INTL(D173,1,Parámetros!$B$8,Parámetros!$D$12:$D$41)))</f>
        <v/>
      </c>
      <c r="G173" s="12"/>
      <c r="H173" s="6"/>
      <c r="I173" s="12"/>
      <c r="J173" s="6"/>
      <c r="K173" s="12"/>
    </row>
    <row r="174" customFormat="false" ht="15" hidden="false" customHeight="false" outlineLevel="0" collapsed="false">
      <c r="A174" s="6"/>
      <c r="B174" s="24" t="str">
        <f aca="false">IF(A174="","",IFERROR(INDEX(Empleados!$B$5:$B$64,MATCH(A174,Empleados!$A$5:$A$64,0)),"ID no encontrado"))</f>
        <v/>
      </c>
      <c r="C174" s="13"/>
      <c r="D174" s="13"/>
      <c r="E174" s="22" t="str">
        <f aca="false">IF(OR(C174="",D174=""),"",IF(Parámetros!$B$6="Calendario",D174-C174+1,NETWORKDAYS.INTL(C174,D174,Parámetros!$B$8,Parámetros!$D$12:$D$41)))</f>
        <v/>
      </c>
      <c r="F174" s="18" t="str">
        <f aca="false">IF(D174="","",IF(Parámetros!$B$6="Calendario",D174+1,WORKDAY.INTL(D174,1,Parámetros!$B$8,Parámetros!$D$12:$D$41)))</f>
        <v/>
      </c>
      <c r="G174" s="12"/>
      <c r="H174" s="6"/>
      <c r="I174" s="12"/>
      <c r="J174" s="6"/>
      <c r="K174" s="12"/>
    </row>
    <row r="175" customFormat="false" ht="15" hidden="false" customHeight="false" outlineLevel="0" collapsed="false">
      <c r="A175" s="6"/>
      <c r="B175" s="24" t="str">
        <f aca="false">IF(A175="","",IFERROR(INDEX(Empleados!$B$5:$B$64,MATCH(A175,Empleados!$A$5:$A$64,0)),"ID no encontrado"))</f>
        <v/>
      </c>
      <c r="C175" s="13"/>
      <c r="D175" s="13"/>
      <c r="E175" s="22" t="str">
        <f aca="false">IF(OR(C175="",D175=""),"",IF(Parámetros!$B$6="Calendario",D175-C175+1,NETWORKDAYS.INTL(C175,D175,Parámetros!$B$8,Parámetros!$D$12:$D$41)))</f>
        <v/>
      </c>
      <c r="F175" s="18" t="str">
        <f aca="false">IF(D175="","",IF(Parámetros!$B$6="Calendario",D175+1,WORKDAY.INTL(D175,1,Parámetros!$B$8,Parámetros!$D$12:$D$41)))</f>
        <v/>
      </c>
      <c r="G175" s="12"/>
      <c r="H175" s="6"/>
      <c r="I175" s="12"/>
      <c r="J175" s="6"/>
      <c r="K175" s="12"/>
    </row>
    <row r="176" customFormat="false" ht="15" hidden="false" customHeight="false" outlineLevel="0" collapsed="false">
      <c r="A176" s="6"/>
      <c r="B176" s="24" t="str">
        <f aca="false">IF(A176="","",IFERROR(INDEX(Empleados!$B$5:$B$64,MATCH(A176,Empleados!$A$5:$A$64,0)),"ID no encontrado"))</f>
        <v/>
      </c>
      <c r="C176" s="13"/>
      <c r="D176" s="13"/>
      <c r="E176" s="22" t="str">
        <f aca="false">IF(OR(C176="",D176=""),"",IF(Parámetros!$B$6="Calendario",D176-C176+1,NETWORKDAYS.INTL(C176,D176,Parámetros!$B$8,Parámetros!$D$12:$D$41)))</f>
        <v/>
      </c>
      <c r="F176" s="18" t="str">
        <f aca="false">IF(D176="","",IF(Parámetros!$B$6="Calendario",D176+1,WORKDAY.INTL(D176,1,Parámetros!$B$8,Parámetros!$D$12:$D$41)))</f>
        <v/>
      </c>
      <c r="G176" s="12"/>
      <c r="H176" s="6"/>
      <c r="I176" s="12"/>
      <c r="J176" s="6"/>
      <c r="K176" s="12"/>
    </row>
    <row r="177" customFormat="false" ht="15" hidden="false" customHeight="false" outlineLevel="0" collapsed="false">
      <c r="A177" s="6"/>
      <c r="B177" s="24" t="str">
        <f aca="false">IF(A177="","",IFERROR(INDEX(Empleados!$B$5:$B$64,MATCH(A177,Empleados!$A$5:$A$64,0)),"ID no encontrado"))</f>
        <v/>
      </c>
      <c r="C177" s="13"/>
      <c r="D177" s="13"/>
      <c r="E177" s="22" t="str">
        <f aca="false">IF(OR(C177="",D177=""),"",IF(Parámetros!$B$6="Calendario",D177-C177+1,NETWORKDAYS.INTL(C177,D177,Parámetros!$B$8,Parámetros!$D$12:$D$41)))</f>
        <v/>
      </c>
      <c r="F177" s="18" t="str">
        <f aca="false">IF(D177="","",IF(Parámetros!$B$6="Calendario",D177+1,WORKDAY.INTL(D177,1,Parámetros!$B$8,Parámetros!$D$12:$D$41)))</f>
        <v/>
      </c>
      <c r="G177" s="12"/>
      <c r="H177" s="6"/>
      <c r="I177" s="12"/>
      <c r="J177" s="6"/>
      <c r="K177" s="12"/>
    </row>
    <row r="178" customFormat="false" ht="15" hidden="false" customHeight="false" outlineLevel="0" collapsed="false">
      <c r="A178" s="6"/>
      <c r="B178" s="24" t="str">
        <f aca="false">IF(A178="","",IFERROR(INDEX(Empleados!$B$5:$B$64,MATCH(A178,Empleados!$A$5:$A$64,0)),"ID no encontrado"))</f>
        <v/>
      </c>
      <c r="C178" s="13"/>
      <c r="D178" s="13"/>
      <c r="E178" s="22" t="str">
        <f aca="false">IF(OR(C178="",D178=""),"",IF(Parámetros!$B$6="Calendario",D178-C178+1,NETWORKDAYS.INTL(C178,D178,Parámetros!$B$8,Parámetros!$D$12:$D$41)))</f>
        <v/>
      </c>
      <c r="F178" s="18" t="str">
        <f aca="false">IF(D178="","",IF(Parámetros!$B$6="Calendario",D178+1,WORKDAY.INTL(D178,1,Parámetros!$B$8,Parámetros!$D$12:$D$41)))</f>
        <v/>
      </c>
      <c r="G178" s="12"/>
      <c r="H178" s="6"/>
      <c r="I178" s="12"/>
      <c r="J178" s="6"/>
      <c r="K178" s="12"/>
    </row>
    <row r="179" customFormat="false" ht="15" hidden="false" customHeight="false" outlineLevel="0" collapsed="false">
      <c r="A179" s="6"/>
      <c r="B179" s="24" t="str">
        <f aca="false">IF(A179="","",IFERROR(INDEX(Empleados!$B$5:$B$64,MATCH(A179,Empleados!$A$5:$A$64,0)),"ID no encontrado"))</f>
        <v/>
      </c>
      <c r="C179" s="13"/>
      <c r="D179" s="13"/>
      <c r="E179" s="22" t="str">
        <f aca="false">IF(OR(C179="",D179=""),"",IF(Parámetros!$B$6="Calendario",D179-C179+1,NETWORKDAYS.INTL(C179,D179,Parámetros!$B$8,Parámetros!$D$12:$D$41)))</f>
        <v/>
      </c>
      <c r="F179" s="18" t="str">
        <f aca="false">IF(D179="","",IF(Parámetros!$B$6="Calendario",D179+1,WORKDAY.INTL(D179,1,Parámetros!$B$8,Parámetros!$D$12:$D$41)))</f>
        <v/>
      </c>
      <c r="G179" s="12"/>
      <c r="H179" s="6"/>
      <c r="I179" s="12"/>
      <c r="J179" s="6"/>
      <c r="K179" s="12"/>
    </row>
    <row r="180" customFormat="false" ht="15" hidden="false" customHeight="false" outlineLevel="0" collapsed="false">
      <c r="A180" s="6"/>
      <c r="B180" s="24" t="str">
        <f aca="false">IF(A180="","",IFERROR(INDEX(Empleados!$B$5:$B$64,MATCH(A180,Empleados!$A$5:$A$64,0)),"ID no encontrado"))</f>
        <v/>
      </c>
      <c r="C180" s="13"/>
      <c r="D180" s="13"/>
      <c r="E180" s="22" t="str">
        <f aca="false">IF(OR(C180="",D180=""),"",IF(Parámetros!$B$6="Calendario",D180-C180+1,NETWORKDAYS.INTL(C180,D180,Parámetros!$B$8,Parámetros!$D$12:$D$41)))</f>
        <v/>
      </c>
      <c r="F180" s="18" t="str">
        <f aca="false">IF(D180="","",IF(Parámetros!$B$6="Calendario",D180+1,WORKDAY.INTL(D180,1,Parámetros!$B$8,Parámetros!$D$12:$D$41)))</f>
        <v/>
      </c>
      <c r="G180" s="12"/>
      <c r="H180" s="6"/>
      <c r="I180" s="12"/>
      <c r="J180" s="6"/>
      <c r="K180" s="12"/>
    </row>
    <row r="181" customFormat="false" ht="15" hidden="false" customHeight="false" outlineLevel="0" collapsed="false">
      <c r="A181" s="6"/>
      <c r="B181" s="24" t="str">
        <f aca="false">IF(A181="","",IFERROR(INDEX(Empleados!$B$5:$B$64,MATCH(A181,Empleados!$A$5:$A$64,0)),"ID no encontrado"))</f>
        <v/>
      </c>
      <c r="C181" s="13"/>
      <c r="D181" s="13"/>
      <c r="E181" s="22" t="str">
        <f aca="false">IF(OR(C181="",D181=""),"",IF(Parámetros!$B$6="Calendario",D181-C181+1,NETWORKDAYS.INTL(C181,D181,Parámetros!$B$8,Parámetros!$D$12:$D$41)))</f>
        <v/>
      </c>
      <c r="F181" s="18" t="str">
        <f aca="false">IF(D181="","",IF(Parámetros!$B$6="Calendario",D181+1,WORKDAY.INTL(D181,1,Parámetros!$B$8,Parámetros!$D$12:$D$41)))</f>
        <v/>
      </c>
      <c r="G181" s="12"/>
      <c r="H181" s="6"/>
      <c r="I181" s="12"/>
      <c r="J181" s="6"/>
      <c r="K181" s="12"/>
    </row>
    <row r="182" customFormat="false" ht="15" hidden="false" customHeight="false" outlineLevel="0" collapsed="false">
      <c r="A182" s="6"/>
      <c r="B182" s="24" t="str">
        <f aca="false">IF(A182="","",IFERROR(INDEX(Empleados!$B$5:$B$64,MATCH(A182,Empleados!$A$5:$A$64,0)),"ID no encontrado"))</f>
        <v/>
      </c>
      <c r="C182" s="13"/>
      <c r="D182" s="13"/>
      <c r="E182" s="22" t="str">
        <f aca="false">IF(OR(C182="",D182=""),"",IF(Parámetros!$B$6="Calendario",D182-C182+1,NETWORKDAYS.INTL(C182,D182,Parámetros!$B$8,Parámetros!$D$12:$D$41)))</f>
        <v/>
      </c>
      <c r="F182" s="18" t="str">
        <f aca="false">IF(D182="","",IF(Parámetros!$B$6="Calendario",D182+1,WORKDAY.INTL(D182,1,Parámetros!$B$8,Parámetros!$D$12:$D$41)))</f>
        <v/>
      </c>
      <c r="G182" s="12"/>
      <c r="H182" s="6"/>
      <c r="I182" s="12"/>
      <c r="J182" s="6"/>
      <c r="K182" s="12"/>
    </row>
    <row r="183" customFormat="false" ht="15" hidden="false" customHeight="false" outlineLevel="0" collapsed="false">
      <c r="A183" s="6"/>
      <c r="B183" s="24" t="str">
        <f aca="false">IF(A183="","",IFERROR(INDEX(Empleados!$B$5:$B$64,MATCH(A183,Empleados!$A$5:$A$64,0)),"ID no encontrado"))</f>
        <v/>
      </c>
      <c r="C183" s="13"/>
      <c r="D183" s="13"/>
      <c r="E183" s="22" t="str">
        <f aca="false">IF(OR(C183="",D183=""),"",IF(Parámetros!$B$6="Calendario",D183-C183+1,NETWORKDAYS.INTL(C183,D183,Parámetros!$B$8,Parámetros!$D$12:$D$41)))</f>
        <v/>
      </c>
      <c r="F183" s="18" t="str">
        <f aca="false">IF(D183="","",IF(Parámetros!$B$6="Calendario",D183+1,WORKDAY.INTL(D183,1,Parámetros!$B$8,Parámetros!$D$12:$D$41)))</f>
        <v/>
      </c>
      <c r="G183" s="12"/>
      <c r="H183" s="6"/>
      <c r="I183" s="12"/>
      <c r="J183" s="6"/>
      <c r="K183" s="12"/>
    </row>
    <row r="184" customFormat="false" ht="15" hidden="false" customHeight="false" outlineLevel="0" collapsed="false">
      <c r="A184" s="6"/>
      <c r="B184" s="24" t="str">
        <f aca="false">IF(A184="","",IFERROR(INDEX(Empleados!$B$5:$B$64,MATCH(A184,Empleados!$A$5:$A$64,0)),"ID no encontrado"))</f>
        <v/>
      </c>
      <c r="C184" s="13"/>
      <c r="D184" s="13"/>
      <c r="E184" s="22" t="str">
        <f aca="false">IF(OR(C184="",D184=""),"",IF(Parámetros!$B$6="Calendario",D184-C184+1,NETWORKDAYS.INTL(C184,D184,Parámetros!$B$8,Parámetros!$D$12:$D$41)))</f>
        <v/>
      </c>
      <c r="F184" s="18" t="str">
        <f aca="false">IF(D184="","",IF(Parámetros!$B$6="Calendario",D184+1,WORKDAY.INTL(D184,1,Parámetros!$B$8,Parámetros!$D$12:$D$41)))</f>
        <v/>
      </c>
      <c r="G184" s="12"/>
      <c r="H184" s="6"/>
      <c r="I184" s="12"/>
      <c r="J184" s="6"/>
      <c r="K184" s="12"/>
    </row>
    <row r="185" customFormat="false" ht="15" hidden="false" customHeight="false" outlineLevel="0" collapsed="false">
      <c r="A185" s="6"/>
      <c r="B185" s="24" t="str">
        <f aca="false">IF(A185="","",IFERROR(INDEX(Empleados!$B$5:$B$64,MATCH(A185,Empleados!$A$5:$A$64,0)),"ID no encontrado"))</f>
        <v/>
      </c>
      <c r="C185" s="13"/>
      <c r="D185" s="13"/>
      <c r="E185" s="22" t="str">
        <f aca="false">IF(OR(C185="",D185=""),"",IF(Parámetros!$B$6="Calendario",D185-C185+1,NETWORKDAYS.INTL(C185,D185,Parámetros!$B$8,Parámetros!$D$12:$D$41)))</f>
        <v/>
      </c>
      <c r="F185" s="18" t="str">
        <f aca="false">IF(D185="","",IF(Parámetros!$B$6="Calendario",D185+1,WORKDAY.INTL(D185,1,Parámetros!$B$8,Parámetros!$D$12:$D$41)))</f>
        <v/>
      </c>
      <c r="G185" s="12"/>
      <c r="H185" s="6"/>
      <c r="I185" s="12"/>
      <c r="J185" s="6"/>
      <c r="K185" s="12"/>
    </row>
    <row r="186" customFormat="false" ht="15" hidden="false" customHeight="false" outlineLevel="0" collapsed="false">
      <c r="A186" s="6"/>
      <c r="B186" s="24" t="str">
        <f aca="false">IF(A186="","",IFERROR(INDEX(Empleados!$B$5:$B$64,MATCH(A186,Empleados!$A$5:$A$64,0)),"ID no encontrado"))</f>
        <v/>
      </c>
      <c r="C186" s="13"/>
      <c r="D186" s="13"/>
      <c r="E186" s="22" t="str">
        <f aca="false">IF(OR(C186="",D186=""),"",IF(Parámetros!$B$6="Calendario",D186-C186+1,NETWORKDAYS.INTL(C186,D186,Parámetros!$B$8,Parámetros!$D$12:$D$41)))</f>
        <v/>
      </c>
      <c r="F186" s="18" t="str">
        <f aca="false">IF(D186="","",IF(Parámetros!$B$6="Calendario",D186+1,WORKDAY.INTL(D186,1,Parámetros!$B$8,Parámetros!$D$12:$D$41)))</f>
        <v/>
      </c>
      <c r="G186" s="12"/>
      <c r="H186" s="6"/>
      <c r="I186" s="12"/>
      <c r="J186" s="6"/>
      <c r="K186" s="12"/>
    </row>
    <row r="187" customFormat="false" ht="15" hidden="false" customHeight="false" outlineLevel="0" collapsed="false">
      <c r="A187" s="6"/>
      <c r="B187" s="24" t="str">
        <f aca="false">IF(A187="","",IFERROR(INDEX(Empleados!$B$5:$B$64,MATCH(A187,Empleados!$A$5:$A$64,0)),"ID no encontrado"))</f>
        <v/>
      </c>
      <c r="C187" s="13"/>
      <c r="D187" s="13"/>
      <c r="E187" s="22" t="str">
        <f aca="false">IF(OR(C187="",D187=""),"",IF(Parámetros!$B$6="Calendario",D187-C187+1,NETWORKDAYS.INTL(C187,D187,Parámetros!$B$8,Parámetros!$D$12:$D$41)))</f>
        <v/>
      </c>
      <c r="F187" s="18" t="str">
        <f aca="false">IF(D187="","",IF(Parámetros!$B$6="Calendario",D187+1,WORKDAY.INTL(D187,1,Parámetros!$B$8,Parámetros!$D$12:$D$41)))</f>
        <v/>
      </c>
      <c r="G187" s="12"/>
      <c r="H187" s="6"/>
      <c r="I187" s="12"/>
      <c r="J187" s="6"/>
      <c r="K187" s="12"/>
    </row>
    <row r="188" customFormat="false" ht="15" hidden="false" customHeight="false" outlineLevel="0" collapsed="false">
      <c r="A188" s="6"/>
      <c r="B188" s="24" t="str">
        <f aca="false">IF(A188="","",IFERROR(INDEX(Empleados!$B$5:$B$64,MATCH(A188,Empleados!$A$5:$A$64,0)),"ID no encontrado"))</f>
        <v/>
      </c>
      <c r="C188" s="13"/>
      <c r="D188" s="13"/>
      <c r="E188" s="22" t="str">
        <f aca="false">IF(OR(C188="",D188=""),"",IF(Parámetros!$B$6="Calendario",D188-C188+1,NETWORKDAYS.INTL(C188,D188,Parámetros!$B$8,Parámetros!$D$12:$D$41)))</f>
        <v/>
      </c>
      <c r="F188" s="18" t="str">
        <f aca="false">IF(D188="","",IF(Parámetros!$B$6="Calendario",D188+1,WORKDAY.INTL(D188,1,Parámetros!$B$8,Parámetros!$D$12:$D$41)))</f>
        <v/>
      </c>
      <c r="G188" s="12"/>
      <c r="H188" s="6"/>
      <c r="I188" s="12"/>
      <c r="J188" s="6"/>
      <c r="K188" s="12"/>
    </row>
    <row r="189" customFormat="false" ht="15" hidden="false" customHeight="false" outlineLevel="0" collapsed="false">
      <c r="A189" s="6"/>
      <c r="B189" s="24" t="str">
        <f aca="false">IF(A189="","",IFERROR(INDEX(Empleados!$B$5:$B$64,MATCH(A189,Empleados!$A$5:$A$64,0)),"ID no encontrado"))</f>
        <v/>
      </c>
      <c r="C189" s="13"/>
      <c r="D189" s="13"/>
      <c r="E189" s="22" t="str">
        <f aca="false">IF(OR(C189="",D189=""),"",IF(Parámetros!$B$6="Calendario",D189-C189+1,NETWORKDAYS.INTL(C189,D189,Parámetros!$B$8,Parámetros!$D$12:$D$41)))</f>
        <v/>
      </c>
      <c r="F189" s="18" t="str">
        <f aca="false">IF(D189="","",IF(Parámetros!$B$6="Calendario",D189+1,WORKDAY.INTL(D189,1,Parámetros!$B$8,Parámetros!$D$12:$D$41)))</f>
        <v/>
      </c>
      <c r="G189" s="12"/>
      <c r="H189" s="6"/>
      <c r="I189" s="12"/>
      <c r="J189" s="6"/>
      <c r="K189" s="12"/>
    </row>
    <row r="190" customFormat="false" ht="15" hidden="false" customHeight="false" outlineLevel="0" collapsed="false">
      <c r="A190" s="6"/>
      <c r="B190" s="24" t="str">
        <f aca="false">IF(A190="","",IFERROR(INDEX(Empleados!$B$5:$B$64,MATCH(A190,Empleados!$A$5:$A$64,0)),"ID no encontrado"))</f>
        <v/>
      </c>
      <c r="C190" s="13"/>
      <c r="D190" s="13"/>
      <c r="E190" s="22" t="str">
        <f aca="false">IF(OR(C190="",D190=""),"",IF(Parámetros!$B$6="Calendario",D190-C190+1,NETWORKDAYS.INTL(C190,D190,Parámetros!$B$8,Parámetros!$D$12:$D$41)))</f>
        <v/>
      </c>
      <c r="F190" s="18" t="str">
        <f aca="false">IF(D190="","",IF(Parámetros!$B$6="Calendario",D190+1,WORKDAY.INTL(D190,1,Parámetros!$B$8,Parámetros!$D$12:$D$41)))</f>
        <v/>
      </c>
      <c r="G190" s="12"/>
      <c r="H190" s="6"/>
      <c r="I190" s="12"/>
      <c r="J190" s="6"/>
      <c r="K190" s="12"/>
    </row>
    <row r="191" customFormat="false" ht="15" hidden="false" customHeight="false" outlineLevel="0" collapsed="false">
      <c r="A191" s="6"/>
      <c r="B191" s="24" t="str">
        <f aca="false">IF(A191="","",IFERROR(INDEX(Empleados!$B$5:$B$64,MATCH(A191,Empleados!$A$5:$A$64,0)),"ID no encontrado"))</f>
        <v/>
      </c>
      <c r="C191" s="13"/>
      <c r="D191" s="13"/>
      <c r="E191" s="22" t="str">
        <f aca="false">IF(OR(C191="",D191=""),"",IF(Parámetros!$B$6="Calendario",D191-C191+1,NETWORKDAYS.INTL(C191,D191,Parámetros!$B$8,Parámetros!$D$12:$D$41)))</f>
        <v/>
      </c>
      <c r="F191" s="18" t="str">
        <f aca="false">IF(D191="","",IF(Parámetros!$B$6="Calendario",D191+1,WORKDAY.INTL(D191,1,Parámetros!$B$8,Parámetros!$D$12:$D$41)))</f>
        <v/>
      </c>
      <c r="G191" s="12"/>
      <c r="H191" s="6"/>
      <c r="I191" s="12"/>
      <c r="J191" s="6"/>
      <c r="K191" s="12"/>
    </row>
    <row r="192" customFormat="false" ht="15" hidden="false" customHeight="false" outlineLevel="0" collapsed="false">
      <c r="A192" s="6"/>
      <c r="B192" s="24" t="str">
        <f aca="false">IF(A192="","",IFERROR(INDEX(Empleados!$B$5:$B$64,MATCH(A192,Empleados!$A$5:$A$64,0)),"ID no encontrado"))</f>
        <v/>
      </c>
      <c r="C192" s="13"/>
      <c r="D192" s="13"/>
      <c r="E192" s="22" t="str">
        <f aca="false">IF(OR(C192="",D192=""),"",IF(Parámetros!$B$6="Calendario",D192-C192+1,NETWORKDAYS.INTL(C192,D192,Parámetros!$B$8,Parámetros!$D$12:$D$41)))</f>
        <v/>
      </c>
      <c r="F192" s="18" t="str">
        <f aca="false">IF(D192="","",IF(Parámetros!$B$6="Calendario",D192+1,WORKDAY.INTL(D192,1,Parámetros!$B$8,Parámetros!$D$12:$D$41)))</f>
        <v/>
      </c>
      <c r="G192" s="12"/>
      <c r="H192" s="6"/>
      <c r="I192" s="12"/>
      <c r="J192" s="6"/>
      <c r="K192" s="12"/>
    </row>
    <row r="193" customFormat="false" ht="15" hidden="false" customHeight="false" outlineLevel="0" collapsed="false">
      <c r="A193" s="6"/>
      <c r="B193" s="24" t="str">
        <f aca="false">IF(A193="","",IFERROR(INDEX(Empleados!$B$5:$B$64,MATCH(A193,Empleados!$A$5:$A$64,0)),"ID no encontrado"))</f>
        <v/>
      </c>
      <c r="C193" s="13"/>
      <c r="D193" s="13"/>
      <c r="E193" s="22" t="str">
        <f aca="false">IF(OR(C193="",D193=""),"",IF(Parámetros!$B$6="Calendario",D193-C193+1,NETWORKDAYS.INTL(C193,D193,Parámetros!$B$8,Parámetros!$D$12:$D$41)))</f>
        <v/>
      </c>
      <c r="F193" s="18" t="str">
        <f aca="false">IF(D193="","",IF(Parámetros!$B$6="Calendario",D193+1,WORKDAY.INTL(D193,1,Parámetros!$B$8,Parámetros!$D$12:$D$41)))</f>
        <v/>
      </c>
      <c r="G193" s="12"/>
      <c r="H193" s="6"/>
      <c r="I193" s="12"/>
      <c r="J193" s="6"/>
      <c r="K193" s="12"/>
    </row>
    <row r="194" customFormat="false" ht="15" hidden="false" customHeight="false" outlineLevel="0" collapsed="false">
      <c r="A194" s="6"/>
      <c r="B194" s="24" t="str">
        <f aca="false">IF(A194="","",IFERROR(INDEX(Empleados!$B$5:$B$64,MATCH(A194,Empleados!$A$5:$A$64,0)),"ID no encontrado"))</f>
        <v/>
      </c>
      <c r="C194" s="13"/>
      <c r="D194" s="13"/>
      <c r="E194" s="22" t="str">
        <f aca="false">IF(OR(C194="",D194=""),"",IF(Parámetros!$B$6="Calendario",D194-C194+1,NETWORKDAYS.INTL(C194,D194,Parámetros!$B$8,Parámetros!$D$12:$D$41)))</f>
        <v/>
      </c>
      <c r="F194" s="18" t="str">
        <f aca="false">IF(D194="","",IF(Parámetros!$B$6="Calendario",D194+1,WORKDAY.INTL(D194,1,Parámetros!$B$8,Parámetros!$D$12:$D$41)))</f>
        <v/>
      </c>
      <c r="G194" s="12"/>
      <c r="H194" s="6"/>
      <c r="I194" s="12"/>
      <c r="J194" s="6"/>
      <c r="K194" s="12"/>
    </row>
    <row r="195" customFormat="false" ht="15" hidden="false" customHeight="false" outlineLevel="0" collapsed="false">
      <c r="A195" s="6"/>
      <c r="B195" s="24" t="str">
        <f aca="false">IF(A195="","",IFERROR(INDEX(Empleados!$B$5:$B$64,MATCH(A195,Empleados!$A$5:$A$64,0)),"ID no encontrado"))</f>
        <v/>
      </c>
      <c r="C195" s="13"/>
      <c r="D195" s="13"/>
      <c r="E195" s="22" t="str">
        <f aca="false">IF(OR(C195="",D195=""),"",IF(Parámetros!$B$6="Calendario",D195-C195+1,NETWORKDAYS.INTL(C195,D195,Parámetros!$B$8,Parámetros!$D$12:$D$41)))</f>
        <v/>
      </c>
      <c r="F195" s="18" t="str">
        <f aca="false">IF(D195="","",IF(Parámetros!$B$6="Calendario",D195+1,WORKDAY.INTL(D195,1,Parámetros!$B$8,Parámetros!$D$12:$D$41)))</f>
        <v/>
      </c>
      <c r="G195" s="12"/>
      <c r="H195" s="6"/>
      <c r="I195" s="12"/>
      <c r="J195" s="6"/>
      <c r="K195" s="12"/>
    </row>
    <row r="196" customFormat="false" ht="15" hidden="false" customHeight="false" outlineLevel="0" collapsed="false">
      <c r="A196" s="6"/>
      <c r="B196" s="24" t="str">
        <f aca="false">IF(A196="","",IFERROR(INDEX(Empleados!$B$5:$B$64,MATCH(A196,Empleados!$A$5:$A$64,0)),"ID no encontrado"))</f>
        <v/>
      </c>
      <c r="C196" s="13"/>
      <c r="D196" s="13"/>
      <c r="E196" s="22" t="str">
        <f aca="false">IF(OR(C196="",D196=""),"",IF(Parámetros!$B$6="Calendario",D196-C196+1,NETWORKDAYS.INTL(C196,D196,Parámetros!$B$8,Parámetros!$D$12:$D$41)))</f>
        <v/>
      </c>
      <c r="F196" s="18" t="str">
        <f aca="false">IF(D196="","",IF(Parámetros!$B$6="Calendario",D196+1,WORKDAY.INTL(D196,1,Parámetros!$B$8,Parámetros!$D$12:$D$41)))</f>
        <v/>
      </c>
      <c r="G196" s="12"/>
      <c r="H196" s="6"/>
      <c r="I196" s="12"/>
      <c r="J196" s="6"/>
      <c r="K196" s="12"/>
    </row>
    <row r="197" customFormat="false" ht="15" hidden="false" customHeight="false" outlineLevel="0" collapsed="false">
      <c r="A197" s="6"/>
      <c r="B197" s="24" t="str">
        <f aca="false">IF(A197="","",IFERROR(INDEX(Empleados!$B$5:$B$64,MATCH(A197,Empleados!$A$5:$A$64,0)),"ID no encontrado"))</f>
        <v/>
      </c>
      <c r="C197" s="13"/>
      <c r="D197" s="13"/>
      <c r="E197" s="22" t="str">
        <f aca="false">IF(OR(C197="",D197=""),"",IF(Parámetros!$B$6="Calendario",D197-C197+1,NETWORKDAYS.INTL(C197,D197,Parámetros!$B$8,Parámetros!$D$12:$D$41)))</f>
        <v/>
      </c>
      <c r="F197" s="18" t="str">
        <f aca="false">IF(D197="","",IF(Parámetros!$B$6="Calendario",D197+1,WORKDAY.INTL(D197,1,Parámetros!$B$8,Parámetros!$D$12:$D$41)))</f>
        <v/>
      </c>
      <c r="G197" s="12"/>
      <c r="H197" s="6"/>
      <c r="I197" s="12"/>
      <c r="J197" s="6"/>
      <c r="K197" s="12"/>
    </row>
    <row r="198" customFormat="false" ht="15" hidden="false" customHeight="false" outlineLevel="0" collapsed="false">
      <c r="A198" s="6"/>
      <c r="B198" s="24" t="str">
        <f aca="false">IF(A198="","",IFERROR(INDEX(Empleados!$B$5:$B$64,MATCH(A198,Empleados!$A$5:$A$64,0)),"ID no encontrado"))</f>
        <v/>
      </c>
      <c r="C198" s="13"/>
      <c r="D198" s="13"/>
      <c r="E198" s="22" t="str">
        <f aca="false">IF(OR(C198="",D198=""),"",IF(Parámetros!$B$6="Calendario",D198-C198+1,NETWORKDAYS.INTL(C198,D198,Parámetros!$B$8,Parámetros!$D$12:$D$41)))</f>
        <v/>
      </c>
      <c r="F198" s="18" t="str">
        <f aca="false">IF(D198="","",IF(Parámetros!$B$6="Calendario",D198+1,WORKDAY.INTL(D198,1,Parámetros!$B$8,Parámetros!$D$12:$D$41)))</f>
        <v/>
      </c>
      <c r="G198" s="12"/>
      <c r="H198" s="6"/>
      <c r="I198" s="12"/>
      <c r="J198" s="6"/>
      <c r="K198" s="12"/>
    </row>
    <row r="199" customFormat="false" ht="15" hidden="false" customHeight="false" outlineLevel="0" collapsed="false">
      <c r="A199" s="6"/>
      <c r="B199" s="24" t="str">
        <f aca="false">IF(A199="","",IFERROR(INDEX(Empleados!$B$5:$B$64,MATCH(A199,Empleados!$A$5:$A$64,0)),"ID no encontrado"))</f>
        <v/>
      </c>
      <c r="C199" s="13"/>
      <c r="D199" s="13"/>
      <c r="E199" s="22" t="str">
        <f aca="false">IF(OR(C199="",D199=""),"",IF(Parámetros!$B$6="Calendario",D199-C199+1,NETWORKDAYS.INTL(C199,D199,Parámetros!$B$8,Parámetros!$D$12:$D$41)))</f>
        <v/>
      </c>
      <c r="F199" s="18" t="str">
        <f aca="false">IF(D199="","",IF(Parámetros!$B$6="Calendario",D199+1,WORKDAY.INTL(D199,1,Parámetros!$B$8,Parámetros!$D$12:$D$41)))</f>
        <v/>
      </c>
      <c r="G199" s="12"/>
      <c r="H199" s="6"/>
      <c r="I199" s="12"/>
      <c r="J199" s="6"/>
      <c r="K199" s="12"/>
    </row>
    <row r="200" customFormat="false" ht="15" hidden="false" customHeight="false" outlineLevel="0" collapsed="false">
      <c r="A200" s="6"/>
      <c r="B200" s="24" t="str">
        <f aca="false">IF(A200="","",IFERROR(INDEX(Empleados!$B$5:$B$64,MATCH(A200,Empleados!$A$5:$A$64,0)),"ID no encontrado"))</f>
        <v/>
      </c>
      <c r="C200" s="13"/>
      <c r="D200" s="13"/>
      <c r="E200" s="22" t="str">
        <f aca="false">IF(OR(C200="",D200=""),"",IF(Parámetros!$B$6="Calendario",D200-C200+1,NETWORKDAYS.INTL(C200,D200,Parámetros!$B$8,Parámetros!$D$12:$D$41)))</f>
        <v/>
      </c>
      <c r="F200" s="18" t="str">
        <f aca="false">IF(D200="","",IF(Parámetros!$B$6="Calendario",D200+1,WORKDAY.INTL(D200,1,Parámetros!$B$8,Parámetros!$D$12:$D$41)))</f>
        <v/>
      </c>
      <c r="G200" s="12"/>
      <c r="H200" s="6"/>
      <c r="I200" s="12"/>
      <c r="J200" s="6"/>
      <c r="K200" s="12"/>
    </row>
    <row r="201" customFormat="false" ht="15" hidden="false" customHeight="false" outlineLevel="0" collapsed="false">
      <c r="A201" s="6"/>
      <c r="B201" s="24" t="str">
        <f aca="false">IF(A201="","",IFERROR(INDEX(Empleados!$B$5:$B$64,MATCH(A201,Empleados!$A$5:$A$64,0)),"ID no encontrado"))</f>
        <v/>
      </c>
      <c r="C201" s="13"/>
      <c r="D201" s="13"/>
      <c r="E201" s="22" t="str">
        <f aca="false">IF(OR(C201="",D201=""),"",IF(Parámetros!$B$6="Calendario",D201-C201+1,NETWORKDAYS.INTL(C201,D201,Parámetros!$B$8,Parámetros!$D$12:$D$41)))</f>
        <v/>
      </c>
      <c r="F201" s="18" t="str">
        <f aca="false">IF(D201="","",IF(Parámetros!$B$6="Calendario",D201+1,WORKDAY.INTL(D201,1,Parámetros!$B$8,Parámetros!$D$12:$D$41)))</f>
        <v/>
      </c>
      <c r="G201" s="12"/>
      <c r="H201" s="6"/>
      <c r="I201" s="12"/>
      <c r="J201" s="6"/>
      <c r="K201" s="12"/>
    </row>
    <row r="202" customFormat="false" ht="15" hidden="false" customHeight="false" outlineLevel="0" collapsed="false">
      <c r="A202" s="6"/>
      <c r="B202" s="24" t="str">
        <f aca="false">IF(A202="","",IFERROR(INDEX(Empleados!$B$5:$B$64,MATCH(A202,Empleados!$A$5:$A$64,0)),"ID no encontrado"))</f>
        <v/>
      </c>
      <c r="C202" s="13"/>
      <c r="D202" s="13"/>
      <c r="E202" s="22" t="str">
        <f aca="false">IF(OR(C202="",D202=""),"",IF(Parámetros!$B$6="Calendario",D202-C202+1,NETWORKDAYS.INTL(C202,D202,Parámetros!$B$8,Parámetros!$D$12:$D$41)))</f>
        <v/>
      </c>
      <c r="F202" s="18" t="str">
        <f aca="false">IF(D202="","",IF(Parámetros!$B$6="Calendario",D202+1,WORKDAY.INTL(D202,1,Parámetros!$B$8,Parámetros!$D$12:$D$41)))</f>
        <v/>
      </c>
      <c r="G202" s="12"/>
      <c r="H202" s="6"/>
      <c r="I202" s="12"/>
      <c r="J202" s="6"/>
      <c r="K202" s="12"/>
    </row>
    <row r="203" customFormat="false" ht="15" hidden="false" customHeight="false" outlineLevel="0" collapsed="false">
      <c r="A203" s="6"/>
      <c r="B203" s="24" t="str">
        <f aca="false">IF(A203="","",IFERROR(INDEX(Empleados!$B$5:$B$64,MATCH(A203,Empleados!$A$5:$A$64,0)),"ID no encontrado"))</f>
        <v/>
      </c>
      <c r="C203" s="13"/>
      <c r="D203" s="13"/>
      <c r="E203" s="22" t="str">
        <f aca="false">IF(OR(C203="",D203=""),"",IF(Parámetros!$B$6="Calendario",D203-C203+1,NETWORKDAYS.INTL(C203,D203,Parámetros!$B$8,Parámetros!$D$12:$D$41)))</f>
        <v/>
      </c>
      <c r="F203" s="18" t="str">
        <f aca="false">IF(D203="","",IF(Parámetros!$B$6="Calendario",D203+1,WORKDAY.INTL(D203,1,Parámetros!$B$8,Parámetros!$D$12:$D$41)))</f>
        <v/>
      </c>
      <c r="G203" s="12"/>
      <c r="H203" s="6"/>
      <c r="I203" s="12"/>
      <c r="J203" s="6"/>
      <c r="K203" s="12"/>
    </row>
    <row r="204" customFormat="false" ht="15" hidden="false" customHeight="false" outlineLevel="0" collapsed="false">
      <c r="A204" s="6"/>
      <c r="B204" s="24" t="str">
        <f aca="false">IF(A204="","",IFERROR(INDEX(Empleados!$B$5:$B$64,MATCH(A204,Empleados!$A$5:$A$64,0)),"ID no encontrado"))</f>
        <v/>
      </c>
      <c r="C204" s="13"/>
      <c r="D204" s="13"/>
      <c r="E204" s="22" t="str">
        <f aca="false">IF(OR(C204="",D204=""),"",IF(Parámetros!$B$6="Calendario",D204-C204+1,NETWORKDAYS.INTL(C204,D204,Parámetros!$B$8,Parámetros!$D$12:$D$41)))</f>
        <v/>
      </c>
      <c r="F204" s="18" t="str">
        <f aca="false">IF(D204="","",IF(Parámetros!$B$6="Calendario",D204+1,WORKDAY.INTL(D204,1,Parámetros!$B$8,Parámetros!$D$12:$D$41)))</f>
        <v/>
      </c>
      <c r="G204" s="12"/>
      <c r="H204" s="6"/>
      <c r="I204" s="12"/>
      <c r="J204" s="6"/>
      <c r="K204" s="12"/>
    </row>
    <row r="205" customFormat="false" ht="15" hidden="false" customHeight="false" outlineLevel="0" collapsed="false">
      <c r="A205" s="6"/>
      <c r="B205" s="24" t="str">
        <f aca="false">IF(A205="","",IFERROR(INDEX(Empleados!$B$5:$B$64,MATCH(A205,Empleados!$A$5:$A$64,0)),"ID no encontrado"))</f>
        <v/>
      </c>
      <c r="C205" s="13"/>
      <c r="D205" s="13"/>
      <c r="E205" s="22" t="str">
        <f aca="false">IF(OR(C205="",D205=""),"",IF(Parámetros!$B$6="Calendario",D205-C205+1,NETWORKDAYS.INTL(C205,D205,Parámetros!$B$8,Parámetros!$D$12:$D$41)))</f>
        <v/>
      </c>
      <c r="F205" s="18" t="str">
        <f aca="false">IF(D205="","",IF(Parámetros!$B$6="Calendario",D205+1,WORKDAY.INTL(D205,1,Parámetros!$B$8,Parámetros!$D$12:$D$41)))</f>
        <v/>
      </c>
      <c r="G205" s="12"/>
      <c r="H205" s="6"/>
      <c r="I205" s="12"/>
      <c r="J205" s="6"/>
      <c r="K205" s="12"/>
    </row>
    <row r="206" customFormat="false" ht="15" hidden="false" customHeight="false" outlineLevel="0" collapsed="false">
      <c r="A206" s="6"/>
      <c r="B206" s="24" t="str">
        <f aca="false">IF(A206="","",IFERROR(INDEX(Empleados!$B$5:$B$64,MATCH(A206,Empleados!$A$5:$A$64,0)),"ID no encontrado"))</f>
        <v/>
      </c>
      <c r="C206" s="13"/>
      <c r="D206" s="13"/>
      <c r="E206" s="22" t="str">
        <f aca="false">IF(OR(C206="",D206=""),"",IF(Parámetros!$B$6="Calendario",D206-C206+1,NETWORKDAYS.INTL(C206,D206,Parámetros!$B$8,Parámetros!$D$12:$D$41)))</f>
        <v/>
      </c>
      <c r="F206" s="18" t="str">
        <f aca="false">IF(D206="","",IF(Parámetros!$B$6="Calendario",D206+1,WORKDAY.INTL(D206,1,Parámetros!$B$8,Parámetros!$D$12:$D$41)))</f>
        <v/>
      </c>
      <c r="G206" s="12"/>
      <c r="H206" s="6"/>
      <c r="I206" s="12"/>
      <c r="J206" s="6"/>
      <c r="K206" s="12"/>
    </row>
    <row r="207" customFormat="false" ht="15" hidden="false" customHeight="false" outlineLevel="0" collapsed="false">
      <c r="A207" s="6"/>
      <c r="B207" s="24" t="str">
        <f aca="false">IF(A207="","",IFERROR(INDEX(Empleados!$B$5:$B$64,MATCH(A207,Empleados!$A$5:$A$64,0)),"ID no encontrado"))</f>
        <v/>
      </c>
      <c r="C207" s="13"/>
      <c r="D207" s="13"/>
      <c r="E207" s="22" t="str">
        <f aca="false">IF(OR(C207="",D207=""),"",IF(Parámetros!$B$6="Calendario",D207-C207+1,NETWORKDAYS.INTL(C207,D207,Parámetros!$B$8,Parámetros!$D$12:$D$41)))</f>
        <v/>
      </c>
      <c r="F207" s="18" t="str">
        <f aca="false">IF(D207="","",IF(Parámetros!$B$6="Calendario",D207+1,WORKDAY.INTL(D207,1,Parámetros!$B$8,Parámetros!$D$12:$D$41)))</f>
        <v/>
      </c>
      <c r="G207" s="12"/>
      <c r="H207" s="6"/>
      <c r="I207" s="12"/>
      <c r="J207" s="6"/>
      <c r="K207" s="12"/>
    </row>
    <row r="208" customFormat="false" ht="15" hidden="false" customHeight="false" outlineLevel="0" collapsed="false">
      <c r="A208" s="6"/>
      <c r="B208" s="24" t="str">
        <f aca="false">IF(A208="","",IFERROR(INDEX(Empleados!$B$5:$B$64,MATCH(A208,Empleados!$A$5:$A$64,0)),"ID no encontrado"))</f>
        <v/>
      </c>
      <c r="C208" s="13"/>
      <c r="D208" s="13"/>
      <c r="E208" s="22" t="str">
        <f aca="false">IF(OR(C208="",D208=""),"",IF(Parámetros!$B$6="Calendario",D208-C208+1,NETWORKDAYS.INTL(C208,D208,Parámetros!$B$8,Parámetros!$D$12:$D$41)))</f>
        <v/>
      </c>
      <c r="F208" s="18" t="str">
        <f aca="false">IF(D208="","",IF(Parámetros!$B$6="Calendario",D208+1,WORKDAY.INTL(D208,1,Parámetros!$B$8,Parámetros!$D$12:$D$41)))</f>
        <v/>
      </c>
      <c r="G208" s="12"/>
      <c r="H208" s="6"/>
      <c r="I208" s="12"/>
      <c r="J208" s="6"/>
      <c r="K208" s="12"/>
    </row>
    <row r="209" customFormat="false" ht="15" hidden="false" customHeight="false" outlineLevel="0" collapsed="false">
      <c r="A209" s="6"/>
      <c r="B209" s="24" t="str">
        <f aca="false">IF(A209="","",IFERROR(INDEX(Empleados!$B$5:$B$64,MATCH(A209,Empleados!$A$5:$A$64,0)),"ID no encontrado"))</f>
        <v/>
      </c>
      <c r="C209" s="13"/>
      <c r="D209" s="13"/>
      <c r="E209" s="22" t="str">
        <f aca="false">IF(OR(C209="",D209=""),"",IF(Parámetros!$B$6="Calendario",D209-C209+1,NETWORKDAYS.INTL(C209,D209,Parámetros!$B$8,Parámetros!$D$12:$D$41)))</f>
        <v/>
      </c>
      <c r="F209" s="18" t="str">
        <f aca="false">IF(D209="","",IF(Parámetros!$B$6="Calendario",D209+1,WORKDAY.INTL(D209,1,Parámetros!$B$8,Parámetros!$D$12:$D$41)))</f>
        <v/>
      </c>
      <c r="G209" s="12"/>
      <c r="H209" s="6"/>
      <c r="I209" s="12"/>
      <c r="J209" s="6"/>
      <c r="K209" s="12"/>
    </row>
    <row r="210" customFormat="false" ht="15" hidden="false" customHeight="false" outlineLevel="0" collapsed="false">
      <c r="A210" s="6"/>
      <c r="B210" s="24" t="str">
        <f aca="false">IF(A210="","",IFERROR(INDEX(Empleados!$B$5:$B$64,MATCH(A210,Empleados!$A$5:$A$64,0)),"ID no encontrado"))</f>
        <v/>
      </c>
      <c r="C210" s="13"/>
      <c r="D210" s="13"/>
      <c r="E210" s="22" t="str">
        <f aca="false">IF(OR(C210="",D210=""),"",IF(Parámetros!$B$6="Calendario",D210-C210+1,NETWORKDAYS.INTL(C210,D210,Parámetros!$B$8,Parámetros!$D$12:$D$41)))</f>
        <v/>
      </c>
      <c r="F210" s="18" t="str">
        <f aca="false">IF(D210="","",IF(Parámetros!$B$6="Calendario",D210+1,WORKDAY.INTL(D210,1,Parámetros!$B$8,Parámetros!$D$12:$D$41)))</f>
        <v/>
      </c>
      <c r="G210" s="12"/>
      <c r="H210" s="6"/>
      <c r="I210" s="12"/>
      <c r="J210" s="6"/>
      <c r="K210" s="12"/>
    </row>
    <row r="211" customFormat="false" ht="15" hidden="false" customHeight="false" outlineLevel="0" collapsed="false">
      <c r="A211" s="6"/>
      <c r="B211" s="24" t="str">
        <f aca="false">IF(A211="","",IFERROR(INDEX(Empleados!$B$5:$B$64,MATCH(A211,Empleados!$A$5:$A$64,0)),"ID no encontrado"))</f>
        <v/>
      </c>
      <c r="C211" s="13"/>
      <c r="D211" s="13"/>
      <c r="E211" s="22" t="str">
        <f aca="false">IF(OR(C211="",D211=""),"",IF(Parámetros!$B$6="Calendario",D211-C211+1,NETWORKDAYS.INTL(C211,D211,Parámetros!$B$8,Parámetros!$D$12:$D$41)))</f>
        <v/>
      </c>
      <c r="F211" s="18" t="str">
        <f aca="false">IF(D211="","",IF(Parámetros!$B$6="Calendario",D211+1,WORKDAY.INTL(D211,1,Parámetros!$B$8,Parámetros!$D$12:$D$41)))</f>
        <v/>
      </c>
      <c r="G211" s="12"/>
      <c r="H211" s="6"/>
      <c r="I211" s="12"/>
      <c r="J211" s="6"/>
      <c r="K211" s="12"/>
    </row>
    <row r="212" customFormat="false" ht="15" hidden="false" customHeight="false" outlineLevel="0" collapsed="false">
      <c r="A212" s="6"/>
      <c r="B212" s="24" t="str">
        <f aca="false">IF(A212="","",IFERROR(INDEX(Empleados!$B$5:$B$64,MATCH(A212,Empleados!$A$5:$A$64,0)),"ID no encontrado"))</f>
        <v/>
      </c>
      <c r="C212" s="13"/>
      <c r="D212" s="13"/>
      <c r="E212" s="22" t="str">
        <f aca="false">IF(OR(C212="",D212=""),"",IF(Parámetros!$B$6="Calendario",D212-C212+1,NETWORKDAYS.INTL(C212,D212,Parámetros!$B$8,Parámetros!$D$12:$D$41)))</f>
        <v/>
      </c>
      <c r="F212" s="18" t="str">
        <f aca="false">IF(D212="","",IF(Parámetros!$B$6="Calendario",D212+1,WORKDAY.INTL(D212,1,Parámetros!$B$8,Parámetros!$D$12:$D$41)))</f>
        <v/>
      </c>
      <c r="G212" s="12"/>
      <c r="H212" s="6"/>
      <c r="I212" s="12"/>
      <c r="J212" s="6"/>
      <c r="K212" s="12"/>
    </row>
    <row r="213" customFormat="false" ht="15" hidden="false" customHeight="false" outlineLevel="0" collapsed="false">
      <c r="A213" s="6"/>
      <c r="B213" s="24" t="str">
        <f aca="false">IF(A213="","",IFERROR(INDEX(Empleados!$B$5:$B$64,MATCH(A213,Empleados!$A$5:$A$64,0)),"ID no encontrado"))</f>
        <v/>
      </c>
      <c r="C213" s="13"/>
      <c r="D213" s="13"/>
      <c r="E213" s="22" t="str">
        <f aca="false">IF(OR(C213="",D213=""),"",IF(Parámetros!$B$6="Calendario",D213-C213+1,NETWORKDAYS.INTL(C213,D213,Parámetros!$B$8,Parámetros!$D$12:$D$41)))</f>
        <v/>
      </c>
      <c r="F213" s="18" t="str">
        <f aca="false">IF(D213="","",IF(Parámetros!$B$6="Calendario",D213+1,WORKDAY.INTL(D213,1,Parámetros!$B$8,Parámetros!$D$12:$D$41)))</f>
        <v/>
      </c>
      <c r="G213" s="12"/>
      <c r="H213" s="6"/>
      <c r="I213" s="12"/>
      <c r="J213" s="6"/>
      <c r="K213" s="12"/>
    </row>
    <row r="214" customFormat="false" ht="15" hidden="false" customHeight="false" outlineLevel="0" collapsed="false">
      <c r="A214" s="6"/>
      <c r="B214" s="24" t="str">
        <f aca="false">IF(A214="","",IFERROR(INDEX(Empleados!$B$5:$B$64,MATCH(A214,Empleados!$A$5:$A$64,0)),"ID no encontrado"))</f>
        <v/>
      </c>
      <c r="C214" s="13"/>
      <c r="D214" s="13"/>
      <c r="E214" s="22" t="str">
        <f aca="false">IF(OR(C214="",D214=""),"",IF(Parámetros!$B$6="Calendario",D214-C214+1,NETWORKDAYS.INTL(C214,D214,Parámetros!$B$8,Parámetros!$D$12:$D$41)))</f>
        <v/>
      </c>
      <c r="F214" s="18" t="str">
        <f aca="false">IF(D214="","",IF(Parámetros!$B$6="Calendario",D214+1,WORKDAY.INTL(D214,1,Parámetros!$B$8,Parámetros!$D$12:$D$41)))</f>
        <v/>
      </c>
      <c r="G214" s="12"/>
      <c r="H214" s="6"/>
      <c r="I214" s="12"/>
      <c r="J214" s="6"/>
      <c r="K214" s="12"/>
    </row>
    <row r="215" customFormat="false" ht="15" hidden="false" customHeight="false" outlineLevel="0" collapsed="false">
      <c r="A215" s="6"/>
      <c r="B215" s="24" t="str">
        <f aca="false">IF(A215="","",IFERROR(INDEX(Empleados!$B$5:$B$64,MATCH(A215,Empleados!$A$5:$A$64,0)),"ID no encontrado"))</f>
        <v/>
      </c>
      <c r="C215" s="13"/>
      <c r="D215" s="13"/>
      <c r="E215" s="22" t="str">
        <f aca="false">IF(OR(C215="",D215=""),"",IF(Parámetros!$B$6="Calendario",D215-C215+1,NETWORKDAYS.INTL(C215,D215,Parámetros!$B$8,Parámetros!$D$12:$D$41)))</f>
        <v/>
      </c>
      <c r="F215" s="18" t="str">
        <f aca="false">IF(D215="","",IF(Parámetros!$B$6="Calendario",D215+1,WORKDAY.INTL(D215,1,Parámetros!$B$8,Parámetros!$D$12:$D$41)))</f>
        <v/>
      </c>
      <c r="G215" s="12"/>
      <c r="H215" s="6"/>
      <c r="I215" s="12"/>
      <c r="J215" s="6"/>
      <c r="K215" s="12"/>
    </row>
    <row r="216" customFormat="false" ht="15" hidden="false" customHeight="false" outlineLevel="0" collapsed="false">
      <c r="A216" s="6"/>
      <c r="B216" s="24" t="str">
        <f aca="false">IF(A216="","",IFERROR(INDEX(Empleados!$B$5:$B$64,MATCH(A216,Empleados!$A$5:$A$64,0)),"ID no encontrado"))</f>
        <v/>
      </c>
      <c r="C216" s="13"/>
      <c r="D216" s="13"/>
      <c r="E216" s="22" t="str">
        <f aca="false">IF(OR(C216="",D216=""),"",IF(Parámetros!$B$6="Calendario",D216-C216+1,NETWORKDAYS.INTL(C216,D216,Parámetros!$B$8,Parámetros!$D$12:$D$41)))</f>
        <v/>
      </c>
      <c r="F216" s="18" t="str">
        <f aca="false">IF(D216="","",IF(Parámetros!$B$6="Calendario",D216+1,WORKDAY.INTL(D216,1,Parámetros!$B$8,Parámetros!$D$12:$D$41)))</f>
        <v/>
      </c>
      <c r="G216" s="12"/>
      <c r="H216" s="6"/>
      <c r="I216" s="12"/>
      <c r="J216" s="6"/>
      <c r="K216" s="12"/>
    </row>
    <row r="217" customFormat="false" ht="15" hidden="false" customHeight="false" outlineLevel="0" collapsed="false">
      <c r="A217" s="6"/>
      <c r="B217" s="24" t="str">
        <f aca="false">IF(A217="","",IFERROR(INDEX(Empleados!$B$5:$B$64,MATCH(A217,Empleados!$A$5:$A$64,0)),"ID no encontrado"))</f>
        <v/>
      </c>
      <c r="C217" s="13"/>
      <c r="D217" s="13"/>
      <c r="E217" s="22" t="str">
        <f aca="false">IF(OR(C217="",D217=""),"",IF(Parámetros!$B$6="Calendario",D217-C217+1,NETWORKDAYS.INTL(C217,D217,Parámetros!$B$8,Parámetros!$D$12:$D$41)))</f>
        <v/>
      </c>
      <c r="F217" s="18" t="str">
        <f aca="false">IF(D217="","",IF(Parámetros!$B$6="Calendario",D217+1,WORKDAY.INTL(D217,1,Parámetros!$B$8,Parámetros!$D$12:$D$41)))</f>
        <v/>
      </c>
      <c r="G217" s="12"/>
      <c r="H217" s="6"/>
      <c r="I217" s="12"/>
      <c r="J217" s="6"/>
      <c r="K217" s="12"/>
    </row>
    <row r="218" customFormat="false" ht="15" hidden="false" customHeight="false" outlineLevel="0" collapsed="false">
      <c r="A218" s="6"/>
      <c r="B218" s="24" t="str">
        <f aca="false">IF(A218="","",IFERROR(INDEX(Empleados!$B$5:$B$64,MATCH(A218,Empleados!$A$5:$A$64,0)),"ID no encontrado"))</f>
        <v/>
      </c>
      <c r="C218" s="13"/>
      <c r="D218" s="13"/>
      <c r="E218" s="22" t="str">
        <f aca="false">IF(OR(C218="",D218=""),"",IF(Parámetros!$B$6="Calendario",D218-C218+1,NETWORKDAYS.INTL(C218,D218,Parámetros!$B$8,Parámetros!$D$12:$D$41)))</f>
        <v/>
      </c>
      <c r="F218" s="18" t="str">
        <f aca="false">IF(D218="","",IF(Parámetros!$B$6="Calendario",D218+1,WORKDAY.INTL(D218,1,Parámetros!$B$8,Parámetros!$D$12:$D$41)))</f>
        <v/>
      </c>
      <c r="G218" s="12"/>
      <c r="H218" s="6"/>
      <c r="I218" s="12"/>
      <c r="J218" s="6"/>
      <c r="K218" s="12"/>
    </row>
    <row r="219" customFormat="false" ht="15" hidden="false" customHeight="false" outlineLevel="0" collapsed="false">
      <c r="A219" s="6"/>
      <c r="B219" s="24" t="str">
        <f aca="false">IF(A219="","",IFERROR(INDEX(Empleados!$B$5:$B$64,MATCH(A219,Empleados!$A$5:$A$64,0)),"ID no encontrado"))</f>
        <v/>
      </c>
      <c r="C219" s="13"/>
      <c r="D219" s="13"/>
      <c r="E219" s="22" t="str">
        <f aca="false">IF(OR(C219="",D219=""),"",IF(Parámetros!$B$6="Calendario",D219-C219+1,NETWORKDAYS.INTL(C219,D219,Parámetros!$B$8,Parámetros!$D$12:$D$41)))</f>
        <v/>
      </c>
      <c r="F219" s="18" t="str">
        <f aca="false">IF(D219="","",IF(Parámetros!$B$6="Calendario",D219+1,WORKDAY.INTL(D219,1,Parámetros!$B$8,Parámetros!$D$12:$D$41)))</f>
        <v/>
      </c>
      <c r="G219" s="12"/>
      <c r="H219" s="6"/>
      <c r="I219" s="12"/>
      <c r="J219" s="6"/>
      <c r="K219" s="12"/>
    </row>
    <row r="220" customFormat="false" ht="15" hidden="false" customHeight="false" outlineLevel="0" collapsed="false">
      <c r="A220" s="6"/>
      <c r="B220" s="24" t="str">
        <f aca="false">IF(A220="","",IFERROR(INDEX(Empleados!$B$5:$B$64,MATCH(A220,Empleados!$A$5:$A$64,0)),"ID no encontrado"))</f>
        <v/>
      </c>
      <c r="C220" s="13"/>
      <c r="D220" s="13"/>
      <c r="E220" s="22" t="str">
        <f aca="false">IF(OR(C220="",D220=""),"",IF(Parámetros!$B$6="Calendario",D220-C220+1,NETWORKDAYS.INTL(C220,D220,Parámetros!$B$8,Parámetros!$D$12:$D$41)))</f>
        <v/>
      </c>
      <c r="F220" s="18" t="str">
        <f aca="false">IF(D220="","",IF(Parámetros!$B$6="Calendario",D220+1,WORKDAY.INTL(D220,1,Parámetros!$B$8,Parámetros!$D$12:$D$41)))</f>
        <v/>
      </c>
      <c r="G220" s="12"/>
      <c r="H220" s="6"/>
      <c r="I220" s="12"/>
      <c r="J220" s="6"/>
      <c r="K220" s="12"/>
    </row>
    <row r="221" customFormat="false" ht="15" hidden="false" customHeight="false" outlineLevel="0" collapsed="false">
      <c r="A221" s="6"/>
      <c r="B221" s="24" t="str">
        <f aca="false">IF(A221="","",IFERROR(INDEX(Empleados!$B$5:$B$64,MATCH(A221,Empleados!$A$5:$A$64,0)),"ID no encontrado"))</f>
        <v/>
      </c>
      <c r="C221" s="13"/>
      <c r="D221" s="13"/>
      <c r="E221" s="22" t="str">
        <f aca="false">IF(OR(C221="",D221=""),"",IF(Parámetros!$B$6="Calendario",D221-C221+1,NETWORKDAYS.INTL(C221,D221,Parámetros!$B$8,Parámetros!$D$12:$D$41)))</f>
        <v/>
      </c>
      <c r="F221" s="18" t="str">
        <f aca="false">IF(D221="","",IF(Parámetros!$B$6="Calendario",D221+1,WORKDAY.INTL(D221,1,Parámetros!$B$8,Parámetros!$D$12:$D$41)))</f>
        <v/>
      </c>
      <c r="G221" s="12"/>
      <c r="H221" s="6"/>
      <c r="I221" s="12"/>
      <c r="J221" s="6"/>
      <c r="K221" s="12"/>
    </row>
    <row r="222" customFormat="false" ht="15" hidden="false" customHeight="false" outlineLevel="0" collapsed="false">
      <c r="A222" s="6"/>
      <c r="B222" s="24" t="str">
        <f aca="false">IF(A222="","",IFERROR(INDEX(Empleados!$B$5:$B$64,MATCH(A222,Empleados!$A$5:$A$64,0)),"ID no encontrado"))</f>
        <v/>
      </c>
      <c r="C222" s="13"/>
      <c r="D222" s="13"/>
      <c r="E222" s="22" t="str">
        <f aca="false">IF(OR(C222="",D222=""),"",IF(Parámetros!$B$6="Calendario",D222-C222+1,NETWORKDAYS.INTL(C222,D222,Parámetros!$B$8,Parámetros!$D$12:$D$41)))</f>
        <v/>
      </c>
      <c r="F222" s="18" t="str">
        <f aca="false">IF(D222="","",IF(Parámetros!$B$6="Calendario",D222+1,WORKDAY.INTL(D222,1,Parámetros!$B$8,Parámetros!$D$12:$D$41)))</f>
        <v/>
      </c>
      <c r="G222" s="12"/>
      <c r="H222" s="6"/>
      <c r="I222" s="12"/>
      <c r="J222" s="6"/>
      <c r="K222" s="12"/>
    </row>
    <row r="223" customFormat="false" ht="15" hidden="false" customHeight="false" outlineLevel="0" collapsed="false">
      <c r="A223" s="6"/>
      <c r="B223" s="24" t="str">
        <f aca="false">IF(A223="","",IFERROR(INDEX(Empleados!$B$5:$B$64,MATCH(A223,Empleados!$A$5:$A$64,0)),"ID no encontrado"))</f>
        <v/>
      </c>
      <c r="C223" s="13"/>
      <c r="D223" s="13"/>
      <c r="E223" s="22" t="str">
        <f aca="false">IF(OR(C223="",D223=""),"",IF(Parámetros!$B$6="Calendario",D223-C223+1,NETWORKDAYS.INTL(C223,D223,Parámetros!$B$8,Parámetros!$D$12:$D$41)))</f>
        <v/>
      </c>
      <c r="F223" s="18" t="str">
        <f aca="false">IF(D223="","",IF(Parámetros!$B$6="Calendario",D223+1,WORKDAY.INTL(D223,1,Parámetros!$B$8,Parámetros!$D$12:$D$41)))</f>
        <v/>
      </c>
      <c r="G223" s="12"/>
      <c r="H223" s="6"/>
      <c r="I223" s="12"/>
      <c r="J223" s="6"/>
      <c r="K223" s="12"/>
    </row>
    <row r="224" customFormat="false" ht="15" hidden="false" customHeight="false" outlineLevel="0" collapsed="false">
      <c r="A224" s="6"/>
      <c r="B224" s="24" t="str">
        <f aca="false">IF(A224="","",IFERROR(INDEX(Empleados!$B$5:$B$64,MATCH(A224,Empleados!$A$5:$A$64,0)),"ID no encontrado"))</f>
        <v/>
      </c>
      <c r="C224" s="13"/>
      <c r="D224" s="13"/>
      <c r="E224" s="22" t="str">
        <f aca="false">IF(OR(C224="",D224=""),"",IF(Parámetros!$B$6="Calendario",D224-C224+1,NETWORKDAYS.INTL(C224,D224,Parámetros!$B$8,Parámetros!$D$12:$D$41)))</f>
        <v/>
      </c>
      <c r="F224" s="18" t="str">
        <f aca="false">IF(D224="","",IF(Parámetros!$B$6="Calendario",D224+1,WORKDAY.INTL(D224,1,Parámetros!$B$8,Parámetros!$D$12:$D$41)))</f>
        <v/>
      </c>
      <c r="G224" s="12"/>
      <c r="H224" s="6"/>
      <c r="I224" s="12"/>
      <c r="J224" s="6"/>
      <c r="K224" s="12"/>
    </row>
    <row r="225" customFormat="false" ht="15" hidden="false" customHeight="false" outlineLevel="0" collapsed="false">
      <c r="A225" s="6"/>
      <c r="B225" s="24" t="str">
        <f aca="false">IF(A225="","",IFERROR(INDEX(Empleados!$B$5:$B$64,MATCH(A225,Empleados!$A$5:$A$64,0)),"ID no encontrado"))</f>
        <v/>
      </c>
      <c r="C225" s="13"/>
      <c r="D225" s="13"/>
      <c r="E225" s="22" t="str">
        <f aca="false">IF(OR(C225="",D225=""),"",IF(Parámetros!$B$6="Calendario",D225-C225+1,NETWORKDAYS.INTL(C225,D225,Parámetros!$B$8,Parámetros!$D$12:$D$41)))</f>
        <v/>
      </c>
      <c r="F225" s="18" t="str">
        <f aca="false">IF(D225="","",IF(Parámetros!$B$6="Calendario",D225+1,WORKDAY.INTL(D225,1,Parámetros!$B$8,Parámetros!$D$12:$D$41)))</f>
        <v/>
      </c>
      <c r="G225" s="12"/>
      <c r="H225" s="6"/>
      <c r="I225" s="12"/>
      <c r="J225" s="6"/>
      <c r="K225" s="12"/>
    </row>
    <row r="226" customFormat="false" ht="15" hidden="false" customHeight="false" outlineLevel="0" collapsed="false">
      <c r="A226" s="6"/>
      <c r="B226" s="24" t="str">
        <f aca="false">IF(A226="","",IFERROR(INDEX(Empleados!$B$5:$B$64,MATCH(A226,Empleados!$A$5:$A$64,0)),"ID no encontrado"))</f>
        <v/>
      </c>
      <c r="C226" s="13"/>
      <c r="D226" s="13"/>
      <c r="E226" s="22" t="str">
        <f aca="false">IF(OR(C226="",D226=""),"",IF(Parámetros!$B$6="Calendario",D226-C226+1,NETWORKDAYS.INTL(C226,D226,Parámetros!$B$8,Parámetros!$D$12:$D$41)))</f>
        <v/>
      </c>
      <c r="F226" s="18" t="str">
        <f aca="false">IF(D226="","",IF(Parámetros!$B$6="Calendario",D226+1,WORKDAY.INTL(D226,1,Parámetros!$B$8,Parámetros!$D$12:$D$41)))</f>
        <v/>
      </c>
      <c r="G226" s="12"/>
      <c r="H226" s="6"/>
      <c r="I226" s="12"/>
      <c r="J226" s="6"/>
      <c r="K226" s="12"/>
    </row>
    <row r="227" customFormat="false" ht="15" hidden="false" customHeight="false" outlineLevel="0" collapsed="false">
      <c r="A227" s="6"/>
      <c r="B227" s="24" t="str">
        <f aca="false">IF(A227="","",IFERROR(INDEX(Empleados!$B$5:$B$64,MATCH(A227,Empleados!$A$5:$A$64,0)),"ID no encontrado"))</f>
        <v/>
      </c>
      <c r="C227" s="13"/>
      <c r="D227" s="13"/>
      <c r="E227" s="22" t="str">
        <f aca="false">IF(OR(C227="",D227=""),"",IF(Parámetros!$B$6="Calendario",D227-C227+1,NETWORKDAYS.INTL(C227,D227,Parámetros!$B$8,Parámetros!$D$12:$D$41)))</f>
        <v/>
      </c>
      <c r="F227" s="18" t="str">
        <f aca="false">IF(D227="","",IF(Parámetros!$B$6="Calendario",D227+1,WORKDAY.INTL(D227,1,Parámetros!$B$8,Parámetros!$D$12:$D$41)))</f>
        <v/>
      </c>
      <c r="G227" s="12"/>
      <c r="H227" s="6"/>
      <c r="I227" s="12"/>
      <c r="J227" s="6"/>
      <c r="K227" s="12"/>
    </row>
    <row r="228" customFormat="false" ht="15" hidden="false" customHeight="false" outlineLevel="0" collapsed="false">
      <c r="A228" s="6"/>
      <c r="B228" s="24" t="str">
        <f aca="false">IF(A228="","",IFERROR(INDEX(Empleados!$B$5:$B$64,MATCH(A228,Empleados!$A$5:$A$64,0)),"ID no encontrado"))</f>
        <v/>
      </c>
      <c r="C228" s="13"/>
      <c r="D228" s="13"/>
      <c r="E228" s="22" t="str">
        <f aca="false">IF(OR(C228="",D228=""),"",IF(Parámetros!$B$6="Calendario",D228-C228+1,NETWORKDAYS.INTL(C228,D228,Parámetros!$B$8,Parámetros!$D$12:$D$41)))</f>
        <v/>
      </c>
      <c r="F228" s="18" t="str">
        <f aca="false">IF(D228="","",IF(Parámetros!$B$6="Calendario",D228+1,WORKDAY.INTL(D228,1,Parámetros!$B$8,Parámetros!$D$12:$D$41)))</f>
        <v/>
      </c>
      <c r="G228" s="12"/>
      <c r="H228" s="6"/>
      <c r="I228" s="12"/>
      <c r="J228" s="6"/>
      <c r="K228" s="12"/>
    </row>
    <row r="229" customFormat="false" ht="15" hidden="false" customHeight="false" outlineLevel="0" collapsed="false">
      <c r="A229" s="6"/>
      <c r="B229" s="24" t="str">
        <f aca="false">IF(A229="","",IFERROR(INDEX(Empleados!$B$5:$B$64,MATCH(A229,Empleados!$A$5:$A$64,0)),"ID no encontrado"))</f>
        <v/>
      </c>
      <c r="C229" s="13"/>
      <c r="D229" s="13"/>
      <c r="E229" s="22" t="str">
        <f aca="false">IF(OR(C229="",D229=""),"",IF(Parámetros!$B$6="Calendario",D229-C229+1,NETWORKDAYS.INTL(C229,D229,Parámetros!$B$8,Parámetros!$D$12:$D$41)))</f>
        <v/>
      </c>
      <c r="F229" s="18" t="str">
        <f aca="false">IF(D229="","",IF(Parámetros!$B$6="Calendario",D229+1,WORKDAY.INTL(D229,1,Parámetros!$B$8,Parámetros!$D$12:$D$41)))</f>
        <v/>
      </c>
      <c r="G229" s="12"/>
      <c r="H229" s="6"/>
      <c r="I229" s="12"/>
      <c r="J229" s="6"/>
      <c r="K229" s="12"/>
    </row>
    <row r="230" customFormat="false" ht="15" hidden="false" customHeight="false" outlineLevel="0" collapsed="false">
      <c r="A230" s="6"/>
      <c r="B230" s="24" t="str">
        <f aca="false">IF(A230="","",IFERROR(INDEX(Empleados!$B$5:$B$64,MATCH(A230,Empleados!$A$5:$A$64,0)),"ID no encontrado"))</f>
        <v/>
      </c>
      <c r="C230" s="13"/>
      <c r="D230" s="13"/>
      <c r="E230" s="22" t="str">
        <f aca="false">IF(OR(C230="",D230=""),"",IF(Parámetros!$B$6="Calendario",D230-C230+1,NETWORKDAYS.INTL(C230,D230,Parámetros!$B$8,Parámetros!$D$12:$D$41)))</f>
        <v/>
      </c>
      <c r="F230" s="18" t="str">
        <f aca="false">IF(D230="","",IF(Parámetros!$B$6="Calendario",D230+1,WORKDAY.INTL(D230,1,Parámetros!$B$8,Parámetros!$D$12:$D$41)))</f>
        <v/>
      </c>
      <c r="G230" s="12"/>
      <c r="H230" s="6"/>
      <c r="I230" s="12"/>
      <c r="J230" s="6"/>
      <c r="K230" s="12"/>
    </row>
    <row r="231" customFormat="false" ht="15" hidden="false" customHeight="false" outlineLevel="0" collapsed="false">
      <c r="A231" s="6"/>
      <c r="B231" s="24" t="str">
        <f aca="false">IF(A231="","",IFERROR(INDEX(Empleados!$B$5:$B$64,MATCH(A231,Empleados!$A$5:$A$64,0)),"ID no encontrado"))</f>
        <v/>
      </c>
      <c r="C231" s="13"/>
      <c r="D231" s="13"/>
      <c r="E231" s="22" t="str">
        <f aca="false">IF(OR(C231="",D231=""),"",IF(Parámetros!$B$6="Calendario",D231-C231+1,NETWORKDAYS.INTL(C231,D231,Parámetros!$B$8,Parámetros!$D$12:$D$41)))</f>
        <v/>
      </c>
      <c r="F231" s="18" t="str">
        <f aca="false">IF(D231="","",IF(Parámetros!$B$6="Calendario",D231+1,WORKDAY.INTL(D231,1,Parámetros!$B$8,Parámetros!$D$12:$D$41)))</f>
        <v/>
      </c>
      <c r="G231" s="12"/>
      <c r="H231" s="6"/>
      <c r="I231" s="12"/>
      <c r="J231" s="6"/>
      <c r="K231" s="12"/>
    </row>
    <row r="232" customFormat="false" ht="15" hidden="false" customHeight="false" outlineLevel="0" collapsed="false">
      <c r="A232" s="6"/>
      <c r="B232" s="24" t="str">
        <f aca="false">IF(A232="","",IFERROR(INDEX(Empleados!$B$5:$B$64,MATCH(A232,Empleados!$A$5:$A$64,0)),"ID no encontrado"))</f>
        <v/>
      </c>
      <c r="C232" s="13"/>
      <c r="D232" s="13"/>
      <c r="E232" s="22" t="str">
        <f aca="false">IF(OR(C232="",D232=""),"",IF(Parámetros!$B$6="Calendario",D232-C232+1,NETWORKDAYS.INTL(C232,D232,Parámetros!$B$8,Parámetros!$D$12:$D$41)))</f>
        <v/>
      </c>
      <c r="F232" s="18" t="str">
        <f aca="false">IF(D232="","",IF(Parámetros!$B$6="Calendario",D232+1,WORKDAY.INTL(D232,1,Parámetros!$B$8,Parámetros!$D$12:$D$41)))</f>
        <v/>
      </c>
      <c r="G232" s="12"/>
      <c r="H232" s="6"/>
      <c r="I232" s="12"/>
      <c r="J232" s="6"/>
      <c r="K232" s="12"/>
    </row>
    <row r="233" customFormat="false" ht="15" hidden="false" customHeight="false" outlineLevel="0" collapsed="false">
      <c r="A233" s="6"/>
      <c r="B233" s="24" t="str">
        <f aca="false">IF(A233="","",IFERROR(INDEX(Empleados!$B$5:$B$64,MATCH(A233,Empleados!$A$5:$A$64,0)),"ID no encontrado"))</f>
        <v/>
      </c>
      <c r="C233" s="13"/>
      <c r="D233" s="13"/>
      <c r="E233" s="22" t="str">
        <f aca="false">IF(OR(C233="",D233=""),"",IF(Parámetros!$B$6="Calendario",D233-C233+1,NETWORKDAYS.INTL(C233,D233,Parámetros!$B$8,Parámetros!$D$12:$D$41)))</f>
        <v/>
      </c>
      <c r="F233" s="18" t="str">
        <f aca="false">IF(D233="","",IF(Parámetros!$B$6="Calendario",D233+1,WORKDAY.INTL(D233,1,Parámetros!$B$8,Parámetros!$D$12:$D$41)))</f>
        <v/>
      </c>
      <c r="G233" s="12"/>
      <c r="H233" s="6"/>
      <c r="I233" s="12"/>
      <c r="J233" s="6"/>
      <c r="K233" s="12"/>
    </row>
    <row r="234" customFormat="false" ht="15" hidden="false" customHeight="false" outlineLevel="0" collapsed="false">
      <c r="A234" s="6"/>
      <c r="B234" s="24" t="str">
        <f aca="false">IF(A234="","",IFERROR(INDEX(Empleados!$B$5:$B$64,MATCH(A234,Empleados!$A$5:$A$64,0)),"ID no encontrado"))</f>
        <v/>
      </c>
      <c r="C234" s="13"/>
      <c r="D234" s="13"/>
      <c r="E234" s="22" t="str">
        <f aca="false">IF(OR(C234="",D234=""),"",IF(Parámetros!$B$6="Calendario",D234-C234+1,NETWORKDAYS.INTL(C234,D234,Parámetros!$B$8,Parámetros!$D$12:$D$41)))</f>
        <v/>
      </c>
      <c r="F234" s="18" t="str">
        <f aca="false">IF(D234="","",IF(Parámetros!$B$6="Calendario",D234+1,WORKDAY.INTL(D234,1,Parámetros!$B$8,Parámetros!$D$12:$D$41)))</f>
        <v/>
      </c>
      <c r="G234" s="12"/>
      <c r="H234" s="6"/>
      <c r="I234" s="12"/>
      <c r="J234" s="6"/>
      <c r="K234" s="12"/>
    </row>
    <row r="235" customFormat="false" ht="15" hidden="false" customHeight="false" outlineLevel="0" collapsed="false">
      <c r="A235" s="6"/>
      <c r="B235" s="24" t="str">
        <f aca="false">IF(A235="","",IFERROR(INDEX(Empleados!$B$5:$B$64,MATCH(A235,Empleados!$A$5:$A$64,0)),"ID no encontrado"))</f>
        <v/>
      </c>
      <c r="C235" s="13"/>
      <c r="D235" s="13"/>
      <c r="E235" s="22" t="str">
        <f aca="false">IF(OR(C235="",D235=""),"",IF(Parámetros!$B$6="Calendario",D235-C235+1,NETWORKDAYS.INTL(C235,D235,Parámetros!$B$8,Parámetros!$D$12:$D$41)))</f>
        <v/>
      </c>
      <c r="F235" s="18" t="str">
        <f aca="false">IF(D235="","",IF(Parámetros!$B$6="Calendario",D235+1,WORKDAY.INTL(D235,1,Parámetros!$B$8,Parámetros!$D$12:$D$41)))</f>
        <v/>
      </c>
      <c r="G235" s="12"/>
      <c r="H235" s="6"/>
      <c r="I235" s="12"/>
      <c r="J235" s="6"/>
      <c r="K235" s="12"/>
    </row>
    <row r="236" customFormat="false" ht="15" hidden="false" customHeight="false" outlineLevel="0" collapsed="false">
      <c r="A236" s="6"/>
      <c r="B236" s="24" t="str">
        <f aca="false">IF(A236="","",IFERROR(INDEX(Empleados!$B$5:$B$64,MATCH(A236,Empleados!$A$5:$A$64,0)),"ID no encontrado"))</f>
        <v/>
      </c>
      <c r="C236" s="13"/>
      <c r="D236" s="13"/>
      <c r="E236" s="22" t="str">
        <f aca="false">IF(OR(C236="",D236=""),"",IF(Parámetros!$B$6="Calendario",D236-C236+1,NETWORKDAYS.INTL(C236,D236,Parámetros!$B$8,Parámetros!$D$12:$D$41)))</f>
        <v/>
      </c>
      <c r="F236" s="18" t="str">
        <f aca="false">IF(D236="","",IF(Parámetros!$B$6="Calendario",D236+1,WORKDAY.INTL(D236,1,Parámetros!$B$8,Parámetros!$D$12:$D$41)))</f>
        <v/>
      </c>
      <c r="G236" s="12"/>
      <c r="H236" s="6"/>
      <c r="I236" s="12"/>
      <c r="J236" s="6"/>
      <c r="K236" s="12"/>
    </row>
    <row r="237" customFormat="false" ht="15" hidden="false" customHeight="false" outlineLevel="0" collapsed="false">
      <c r="A237" s="6"/>
      <c r="B237" s="24" t="str">
        <f aca="false">IF(A237="","",IFERROR(INDEX(Empleados!$B$5:$B$64,MATCH(A237,Empleados!$A$5:$A$64,0)),"ID no encontrado"))</f>
        <v/>
      </c>
      <c r="C237" s="13"/>
      <c r="D237" s="13"/>
      <c r="E237" s="22" t="str">
        <f aca="false">IF(OR(C237="",D237=""),"",IF(Parámetros!$B$6="Calendario",D237-C237+1,NETWORKDAYS.INTL(C237,D237,Parámetros!$B$8,Parámetros!$D$12:$D$41)))</f>
        <v/>
      </c>
      <c r="F237" s="18" t="str">
        <f aca="false">IF(D237="","",IF(Parámetros!$B$6="Calendario",D237+1,WORKDAY.INTL(D237,1,Parámetros!$B$8,Parámetros!$D$12:$D$41)))</f>
        <v/>
      </c>
      <c r="G237" s="12"/>
      <c r="H237" s="6"/>
      <c r="I237" s="12"/>
      <c r="J237" s="6"/>
      <c r="K237" s="12"/>
    </row>
    <row r="238" customFormat="false" ht="15" hidden="false" customHeight="false" outlineLevel="0" collapsed="false">
      <c r="A238" s="6"/>
      <c r="B238" s="24" t="str">
        <f aca="false">IF(A238="","",IFERROR(INDEX(Empleados!$B$5:$B$64,MATCH(A238,Empleados!$A$5:$A$64,0)),"ID no encontrado"))</f>
        <v/>
      </c>
      <c r="C238" s="13"/>
      <c r="D238" s="13"/>
      <c r="E238" s="22" t="str">
        <f aca="false">IF(OR(C238="",D238=""),"",IF(Parámetros!$B$6="Calendario",D238-C238+1,NETWORKDAYS.INTL(C238,D238,Parámetros!$B$8,Parámetros!$D$12:$D$41)))</f>
        <v/>
      </c>
      <c r="F238" s="18" t="str">
        <f aca="false">IF(D238="","",IF(Parámetros!$B$6="Calendario",D238+1,WORKDAY.INTL(D238,1,Parámetros!$B$8,Parámetros!$D$12:$D$41)))</f>
        <v/>
      </c>
      <c r="G238" s="12"/>
      <c r="H238" s="6"/>
      <c r="I238" s="12"/>
      <c r="J238" s="6"/>
      <c r="K238" s="12"/>
    </row>
    <row r="239" customFormat="false" ht="15" hidden="false" customHeight="false" outlineLevel="0" collapsed="false">
      <c r="A239" s="6"/>
      <c r="B239" s="24" t="str">
        <f aca="false">IF(A239="","",IFERROR(INDEX(Empleados!$B$5:$B$64,MATCH(A239,Empleados!$A$5:$A$64,0)),"ID no encontrado"))</f>
        <v/>
      </c>
      <c r="C239" s="13"/>
      <c r="D239" s="13"/>
      <c r="E239" s="22" t="str">
        <f aca="false">IF(OR(C239="",D239=""),"",IF(Parámetros!$B$6="Calendario",D239-C239+1,NETWORKDAYS.INTL(C239,D239,Parámetros!$B$8,Parámetros!$D$12:$D$41)))</f>
        <v/>
      </c>
      <c r="F239" s="18" t="str">
        <f aca="false">IF(D239="","",IF(Parámetros!$B$6="Calendario",D239+1,WORKDAY.INTL(D239,1,Parámetros!$B$8,Parámetros!$D$12:$D$41)))</f>
        <v/>
      </c>
      <c r="G239" s="12"/>
      <c r="H239" s="6"/>
      <c r="I239" s="12"/>
      <c r="J239" s="6"/>
      <c r="K239" s="12"/>
    </row>
    <row r="240" customFormat="false" ht="15" hidden="false" customHeight="false" outlineLevel="0" collapsed="false">
      <c r="A240" s="6"/>
      <c r="B240" s="24" t="str">
        <f aca="false">IF(A240="","",IFERROR(INDEX(Empleados!$B$5:$B$64,MATCH(A240,Empleados!$A$5:$A$64,0)),"ID no encontrado"))</f>
        <v/>
      </c>
      <c r="C240" s="13"/>
      <c r="D240" s="13"/>
      <c r="E240" s="22" t="str">
        <f aca="false">IF(OR(C240="",D240=""),"",IF(Parámetros!$B$6="Calendario",D240-C240+1,NETWORKDAYS.INTL(C240,D240,Parámetros!$B$8,Parámetros!$D$12:$D$41)))</f>
        <v/>
      </c>
      <c r="F240" s="18" t="str">
        <f aca="false">IF(D240="","",IF(Parámetros!$B$6="Calendario",D240+1,WORKDAY.INTL(D240,1,Parámetros!$B$8,Parámetros!$D$12:$D$41)))</f>
        <v/>
      </c>
      <c r="G240" s="12"/>
      <c r="H240" s="6"/>
      <c r="I240" s="12"/>
      <c r="J240" s="6"/>
      <c r="K240" s="12"/>
    </row>
    <row r="241" customFormat="false" ht="15" hidden="false" customHeight="false" outlineLevel="0" collapsed="false">
      <c r="A241" s="6"/>
      <c r="B241" s="24" t="str">
        <f aca="false">IF(A241="","",IFERROR(INDEX(Empleados!$B$5:$B$64,MATCH(A241,Empleados!$A$5:$A$64,0)),"ID no encontrado"))</f>
        <v/>
      </c>
      <c r="C241" s="13"/>
      <c r="D241" s="13"/>
      <c r="E241" s="22" t="str">
        <f aca="false">IF(OR(C241="",D241=""),"",IF(Parámetros!$B$6="Calendario",D241-C241+1,NETWORKDAYS.INTL(C241,D241,Parámetros!$B$8,Parámetros!$D$12:$D$41)))</f>
        <v/>
      </c>
      <c r="F241" s="18" t="str">
        <f aca="false">IF(D241="","",IF(Parámetros!$B$6="Calendario",D241+1,WORKDAY.INTL(D241,1,Parámetros!$B$8,Parámetros!$D$12:$D$41)))</f>
        <v/>
      </c>
      <c r="G241" s="12"/>
      <c r="H241" s="6"/>
      <c r="I241" s="12"/>
      <c r="J241" s="6"/>
      <c r="K241" s="12"/>
    </row>
    <row r="242" customFormat="false" ht="15" hidden="false" customHeight="false" outlineLevel="0" collapsed="false">
      <c r="A242" s="6"/>
      <c r="B242" s="24" t="str">
        <f aca="false">IF(A242="","",IFERROR(INDEX(Empleados!$B$5:$B$64,MATCH(A242,Empleados!$A$5:$A$64,0)),"ID no encontrado"))</f>
        <v/>
      </c>
      <c r="C242" s="13"/>
      <c r="D242" s="13"/>
      <c r="E242" s="22" t="str">
        <f aca="false">IF(OR(C242="",D242=""),"",IF(Parámetros!$B$6="Calendario",D242-C242+1,NETWORKDAYS.INTL(C242,D242,Parámetros!$B$8,Parámetros!$D$12:$D$41)))</f>
        <v/>
      </c>
      <c r="F242" s="18" t="str">
        <f aca="false">IF(D242="","",IF(Parámetros!$B$6="Calendario",D242+1,WORKDAY.INTL(D242,1,Parámetros!$B$8,Parámetros!$D$12:$D$41)))</f>
        <v/>
      </c>
      <c r="G242" s="12"/>
      <c r="H242" s="6"/>
      <c r="I242" s="12"/>
      <c r="J242" s="6"/>
      <c r="K242" s="12"/>
    </row>
    <row r="243" customFormat="false" ht="15" hidden="false" customHeight="false" outlineLevel="0" collapsed="false">
      <c r="A243" s="6"/>
      <c r="B243" s="24" t="str">
        <f aca="false">IF(A243="","",IFERROR(INDEX(Empleados!$B$5:$B$64,MATCH(A243,Empleados!$A$5:$A$64,0)),"ID no encontrado"))</f>
        <v/>
      </c>
      <c r="C243" s="13"/>
      <c r="D243" s="13"/>
      <c r="E243" s="22" t="str">
        <f aca="false">IF(OR(C243="",D243=""),"",IF(Parámetros!$B$6="Calendario",D243-C243+1,NETWORKDAYS.INTL(C243,D243,Parámetros!$B$8,Parámetros!$D$12:$D$41)))</f>
        <v/>
      </c>
      <c r="F243" s="18" t="str">
        <f aca="false">IF(D243="","",IF(Parámetros!$B$6="Calendario",D243+1,WORKDAY.INTL(D243,1,Parámetros!$B$8,Parámetros!$D$12:$D$41)))</f>
        <v/>
      </c>
      <c r="G243" s="12"/>
      <c r="H243" s="6"/>
      <c r="I243" s="12"/>
      <c r="J243" s="6"/>
      <c r="K243" s="12"/>
    </row>
    <row r="244" customFormat="false" ht="15" hidden="false" customHeight="false" outlineLevel="0" collapsed="false">
      <c r="A244" s="6"/>
      <c r="B244" s="24" t="str">
        <f aca="false">IF(A244="","",IFERROR(INDEX(Empleados!$B$5:$B$64,MATCH(A244,Empleados!$A$5:$A$64,0)),"ID no encontrado"))</f>
        <v/>
      </c>
      <c r="C244" s="13"/>
      <c r="D244" s="13"/>
      <c r="E244" s="22" t="str">
        <f aca="false">IF(OR(C244="",D244=""),"",IF(Parámetros!$B$6="Calendario",D244-C244+1,NETWORKDAYS.INTL(C244,D244,Parámetros!$B$8,Parámetros!$D$12:$D$41)))</f>
        <v/>
      </c>
      <c r="F244" s="18" t="str">
        <f aca="false">IF(D244="","",IF(Parámetros!$B$6="Calendario",D244+1,WORKDAY.INTL(D244,1,Parámetros!$B$8,Parámetros!$D$12:$D$41)))</f>
        <v/>
      </c>
      <c r="G244" s="12"/>
      <c r="H244" s="6"/>
      <c r="I244" s="12"/>
      <c r="J244" s="6"/>
      <c r="K244" s="12"/>
    </row>
    <row r="245" customFormat="false" ht="15" hidden="false" customHeight="false" outlineLevel="0" collapsed="false">
      <c r="A245" s="6"/>
      <c r="B245" s="24" t="str">
        <f aca="false">IF(A245="","",IFERROR(INDEX(Empleados!$B$5:$B$64,MATCH(A245,Empleados!$A$5:$A$64,0)),"ID no encontrado"))</f>
        <v/>
      </c>
      <c r="C245" s="13"/>
      <c r="D245" s="13"/>
      <c r="E245" s="22" t="str">
        <f aca="false">IF(OR(C245="",D245=""),"",IF(Parámetros!$B$6="Calendario",D245-C245+1,NETWORKDAYS.INTL(C245,D245,Parámetros!$B$8,Parámetros!$D$12:$D$41)))</f>
        <v/>
      </c>
      <c r="F245" s="18" t="str">
        <f aca="false">IF(D245="","",IF(Parámetros!$B$6="Calendario",D245+1,WORKDAY.INTL(D245,1,Parámetros!$B$8,Parámetros!$D$12:$D$41)))</f>
        <v/>
      </c>
      <c r="G245" s="12"/>
      <c r="H245" s="6"/>
      <c r="I245" s="12"/>
      <c r="J245" s="6"/>
      <c r="K245" s="12"/>
    </row>
    <row r="246" customFormat="false" ht="15" hidden="false" customHeight="false" outlineLevel="0" collapsed="false">
      <c r="A246" s="6"/>
      <c r="B246" s="24" t="str">
        <f aca="false">IF(A246="","",IFERROR(INDEX(Empleados!$B$5:$B$64,MATCH(A246,Empleados!$A$5:$A$64,0)),"ID no encontrado"))</f>
        <v/>
      </c>
      <c r="C246" s="13"/>
      <c r="D246" s="13"/>
      <c r="E246" s="22" t="str">
        <f aca="false">IF(OR(C246="",D246=""),"",IF(Parámetros!$B$6="Calendario",D246-C246+1,NETWORKDAYS.INTL(C246,D246,Parámetros!$B$8,Parámetros!$D$12:$D$41)))</f>
        <v/>
      </c>
      <c r="F246" s="18" t="str">
        <f aca="false">IF(D246="","",IF(Parámetros!$B$6="Calendario",D246+1,WORKDAY.INTL(D246,1,Parámetros!$B$8,Parámetros!$D$12:$D$41)))</f>
        <v/>
      </c>
      <c r="G246" s="12"/>
      <c r="H246" s="6"/>
      <c r="I246" s="12"/>
      <c r="J246" s="6"/>
      <c r="K246" s="12"/>
    </row>
    <row r="247" customFormat="false" ht="15" hidden="false" customHeight="false" outlineLevel="0" collapsed="false">
      <c r="A247" s="6"/>
      <c r="B247" s="24" t="str">
        <f aca="false">IF(A247="","",IFERROR(INDEX(Empleados!$B$5:$B$64,MATCH(A247,Empleados!$A$5:$A$64,0)),"ID no encontrado"))</f>
        <v/>
      </c>
      <c r="C247" s="13"/>
      <c r="D247" s="13"/>
      <c r="E247" s="22" t="str">
        <f aca="false">IF(OR(C247="",D247=""),"",IF(Parámetros!$B$6="Calendario",D247-C247+1,NETWORKDAYS.INTL(C247,D247,Parámetros!$B$8,Parámetros!$D$12:$D$41)))</f>
        <v/>
      </c>
      <c r="F247" s="18" t="str">
        <f aca="false">IF(D247="","",IF(Parámetros!$B$6="Calendario",D247+1,WORKDAY.INTL(D247,1,Parámetros!$B$8,Parámetros!$D$12:$D$41)))</f>
        <v/>
      </c>
      <c r="G247" s="12"/>
      <c r="H247" s="6"/>
      <c r="I247" s="12"/>
      <c r="J247" s="6"/>
      <c r="K247" s="12"/>
    </row>
    <row r="248" customFormat="false" ht="15" hidden="false" customHeight="false" outlineLevel="0" collapsed="false">
      <c r="A248" s="6"/>
      <c r="B248" s="24" t="str">
        <f aca="false">IF(A248="","",IFERROR(INDEX(Empleados!$B$5:$B$64,MATCH(A248,Empleados!$A$5:$A$64,0)),"ID no encontrado"))</f>
        <v/>
      </c>
      <c r="C248" s="13"/>
      <c r="D248" s="13"/>
      <c r="E248" s="22" t="str">
        <f aca="false">IF(OR(C248="",D248=""),"",IF(Parámetros!$B$6="Calendario",D248-C248+1,NETWORKDAYS.INTL(C248,D248,Parámetros!$B$8,Parámetros!$D$12:$D$41)))</f>
        <v/>
      </c>
      <c r="F248" s="18" t="str">
        <f aca="false">IF(D248="","",IF(Parámetros!$B$6="Calendario",D248+1,WORKDAY.INTL(D248,1,Parámetros!$B$8,Parámetros!$D$12:$D$41)))</f>
        <v/>
      </c>
      <c r="G248" s="12"/>
      <c r="H248" s="6"/>
      <c r="I248" s="12"/>
      <c r="J248" s="6"/>
      <c r="K248" s="12"/>
    </row>
    <row r="249" customFormat="false" ht="15" hidden="false" customHeight="false" outlineLevel="0" collapsed="false">
      <c r="A249" s="6"/>
      <c r="B249" s="24" t="str">
        <f aca="false">IF(A249="","",IFERROR(INDEX(Empleados!$B$5:$B$64,MATCH(A249,Empleados!$A$5:$A$64,0)),"ID no encontrado"))</f>
        <v/>
      </c>
      <c r="C249" s="13"/>
      <c r="D249" s="13"/>
      <c r="E249" s="22" t="str">
        <f aca="false">IF(OR(C249="",D249=""),"",IF(Parámetros!$B$6="Calendario",D249-C249+1,NETWORKDAYS.INTL(C249,D249,Parámetros!$B$8,Parámetros!$D$12:$D$41)))</f>
        <v/>
      </c>
      <c r="F249" s="18" t="str">
        <f aca="false">IF(D249="","",IF(Parámetros!$B$6="Calendario",D249+1,WORKDAY.INTL(D249,1,Parámetros!$B$8,Parámetros!$D$12:$D$41)))</f>
        <v/>
      </c>
      <c r="G249" s="12"/>
      <c r="H249" s="6"/>
      <c r="I249" s="12"/>
      <c r="J249" s="6"/>
      <c r="K249" s="12"/>
    </row>
    <row r="250" customFormat="false" ht="15" hidden="false" customHeight="false" outlineLevel="0" collapsed="false">
      <c r="A250" s="6"/>
      <c r="B250" s="24" t="str">
        <f aca="false">IF(A250="","",IFERROR(INDEX(Empleados!$B$5:$B$64,MATCH(A250,Empleados!$A$5:$A$64,0)),"ID no encontrado"))</f>
        <v/>
      </c>
      <c r="C250" s="13"/>
      <c r="D250" s="13"/>
      <c r="E250" s="22" t="str">
        <f aca="false">IF(OR(C250="",D250=""),"",IF(Parámetros!$B$6="Calendario",D250-C250+1,NETWORKDAYS.INTL(C250,D250,Parámetros!$B$8,Parámetros!$D$12:$D$41)))</f>
        <v/>
      </c>
      <c r="F250" s="18" t="str">
        <f aca="false">IF(D250="","",IF(Parámetros!$B$6="Calendario",D250+1,WORKDAY.INTL(D250,1,Parámetros!$B$8,Parámetros!$D$12:$D$41)))</f>
        <v/>
      </c>
      <c r="G250" s="12"/>
      <c r="H250" s="6"/>
      <c r="I250" s="12"/>
      <c r="J250" s="6"/>
      <c r="K250" s="12"/>
    </row>
    <row r="251" customFormat="false" ht="15" hidden="false" customHeight="false" outlineLevel="0" collapsed="false">
      <c r="A251" s="6"/>
      <c r="B251" s="24" t="str">
        <f aca="false">IF(A251="","",IFERROR(INDEX(Empleados!$B$5:$B$64,MATCH(A251,Empleados!$A$5:$A$64,0)),"ID no encontrado"))</f>
        <v/>
      </c>
      <c r="C251" s="13"/>
      <c r="D251" s="13"/>
      <c r="E251" s="22" t="str">
        <f aca="false">IF(OR(C251="",D251=""),"",IF(Parámetros!$B$6="Calendario",D251-C251+1,NETWORKDAYS.INTL(C251,D251,Parámetros!$B$8,Parámetros!$D$12:$D$41)))</f>
        <v/>
      </c>
      <c r="F251" s="18" t="str">
        <f aca="false">IF(D251="","",IF(Parámetros!$B$6="Calendario",D251+1,WORKDAY.INTL(D251,1,Parámetros!$B$8,Parámetros!$D$12:$D$41)))</f>
        <v/>
      </c>
      <c r="G251" s="12"/>
      <c r="H251" s="6"/>
      <c r="I251" s="12"/>
      <c r="J251" s="6"/>
      <c r="K251" s="12"/>
    </row>
    <row r="252" customFormat="false" ht="15" hidden="false" customHeight="false" outlineLevel="0" collapsed="false">
      <c r="A252" s="6"/>
      <c r="B252" s="24" t="str">
        <f aca="false">IF(A252="","",IFERROR(INDEX(Empleados!$B$5:$B$64,MATCH(A252,Empleados!$A$5:$A$64,0)),"ID no encontrado"))</f>
        <v/>
      </c>
      <c r="C252" s="13"/>
      <c r="D252" s="13"/>
      <c r="E252" s="22" t="str">
        <f aca="false">IF(OR(C252="",D252=""),"",IF(Parámetros!$B$6="Calendario",D252-C252+1,NETWORKDAYS.INTL(C252,D252,Parámetros!$B$8,Parámetros!$D$12:$D$41)))</f>
        <v/>
      </c>
      <c r="F252" s="18" t="str">
        <f aca="false">IF(D252="","",IF(Parámetros!$B$6="Calendario",D252+1,WORKDAY.INTL(D252,1,Parámetros!$B$8,Parámetros!$D$12:$D$41)))</f>
        <v/>
      </c>
      <c r="G252" s="12"/>
      <c r="H252" s="6"/>
      <c r="I252" s="12"/>
      <c r="J252" s="6"/>
      <c r="K252" s="12"/>
    </row>
    <row r="253" customFormat="false" ht="15" hidden="false" customHeight="false" outlineLevel="0" collapsed="false">
      <c r="A253" s="6"/>
      <c r="B253" s="24" t="str">
        <f aca="false">IF(A253="","",IFERROR(INDEX(Empleados!$B$5:$B$64,MATCH(A253,Empleados!$A$5:$A$64,0)),"ID no encontrado"))</f>
        <v/>
      </c>
      <c r="C253" s="13"/>
      <c r="D253" s="13"/>
      <c r="E253" s="22" t="str">
        <f aca="false">IF(OR(C253="",D253=""),"",IF(Parámetros!$B$6="Calendario",D253-C253+1,NETWORKDAYS.INTL(C253,D253,Parámetros!$B$8,Parámetros!$D$12:$D$41)))</f>
        <v/>
      </c>
      <c r="F253" s="18" t="str">
        <f aca="false">IF(D253="","",IF(Parámetros!$B$6="Calendario",D253+1,WORKDAY.INTL(D253,1,Parámetros!$B$8,Parámetros!$D$12:$D$41)))</f>
        <v/>
      </c>
      <c r="G253" s="12"/>
      <c r="H253" s="6"/>
      <c r="I253" s="12"/>
      <c r="J253" s="6"/>
      <c r="K253" s="12"/>
    </row>
    <row r="254" customFormat="false" ht="15" hidden="false" customHeight="false" outlineLevel="0" collapsed="false">
      <c r="A254" s="6"/>
      <c r="B254" s="24" t="str">
        <f aca="false">IF(A254="","",IFERROR(INDEX(Empleados!$B$5:$B$64,MATCH(A254,Empleados!$A$5:$A$64,0)),"ID no encontrado"))</f>
        <v/>
      </c>
      <c r="C254" s="13"/>
      <c r="D254" s="13"/>
      <c r="E254" s="22" t="str">
        <f aca="false">IF(OR(C254="",D254=""),"",IF(Parámetros!$B$6="Calendario",D254-C254+1,NETWORKDAYS.INTL(C254,D254,Parámetros!$B$8,Parámetros!$D$12:$D$41)))</f>
        <v/>
      </c>
      <c r="F254" s="18" t="str">
        <f aca="false">IF(D254="","",IF(Parámetros!$B$6="Calendario",D254+1,WORKDAY.INTL(D254,1,Parámetros!$B$8,Parámetros!$D$12:$D$41)))</f>
        <v/>
      </c>
      <c r="G254" s="12"/>
      <c r="H254" s="6"/>
      <c r="I254" s="12"/>
      <c r="J254" s="6"/>
      <c r="K254" s="12"/>
    </row>
    <row r="255" customFormat="false" ht="15" hidden="false" customHeight="false" outlineLevel="0" collapsed="false">
      <c r="A255" s="6"/>
      <c r="B255" s="24" t="str">
        <f aca="false">IF(A255="","",IFERROR(INDEX(Empleados!$B$5:$B$64,MATCH(A255,Empleados!$A$5:$A$64,0)),"ID no encontrado"))</f>
        <v/>
      </c>
      <c r="C255" s="13"/>
      <c r="D255" s="13"/>
      <c r="E255" s="22" t="str">
        <f aca="false">IF(OR(C255="",D255=""),"",IF(Parámetros!$B$6="Calendario",D255-C255+1,NETWORKDAYS.INTL(C255,D255,Parámetros!$B$8,Parámetros!$D$12:$D$41)))</f>
        <v/>
      </c>
      <c r="F255" s="18" t="str">
        <f aca="false">IF(D255="","",IF(Parámetros!$B$6="Calendario",D255+1,WORKDAY.INTL(D255,1,Parámetros!$B$8,Parámetros!$D$12:$D$41)))</f>
        <v/>
      </c>
      <c r="G255" s="12"/>
      <c r="H255" s="6"/>
      <c r="I255" s="12"/>
      <c r="J255" s="6"/>
      <c r="K255" s="12"/>
    </row>
    <row r="256" customFormat="false" ht="15" hidden="false" customHeight="false" outlineLevel="0" collapsed="false">
      <c r="A256" s="6"/>
      <c r="B256" s="24" t="str">
        <f aca="false">IF(A256="","",IFERROR(INDEX(Empleados!$B$5:$B$64,MATCH(A256,Empleados!$A$5:$A$64,0)),"ID no encontrado"))</f>
        <v/>
      </c>
      <c r="C256" s="13"/>
      <c r="D256" s="13"/>
      <c r="E256" s="22" t="str">
        <f aca="false">IF(OR(C256="",D256=""),"",IF(Parámetros!$B$6="Calendario",D256-C256+1,NETWORKDAYS.INTL(C256,D256,Parámetros!$B$8,Parámetros!$D$12:$D$41)))</f>
        <v/>
      </c>
      <c r="F256" s="18" t="str">
        <f aca="false">IF(D256="","",IF(Parámetros!$B$6="Calendario",D256+1,WORKDAY.INTL(D256,1,Parámetros!$B$8,Parámetros!$D$12:$D$41)))</f>
        <v/>
      </c>
      <c r="G256" s="12"/>
      <c r="H256" s="6"/>
      <c r="I256" s="12"/>
      <c r="J256" s="6"/>
      <c r="K256" s="12"/>
    </row>
    <row r="257" customFormat="false" ht="15" hidden="false" customHeight="false" outlineLevel="0" collapsed="false">
      <c r="A257" s="6"/>
      <c r="B257" s="24" t="str">
        <f aca="false">IF(A257="","",IFERROR(INDEX(Empleados!$B$5:$B$64,MATCH(A257,Empleados!$A$5:$A$64,0)),"ID no encontrado"))</f>
        <v/>
      </c>
      <c r="C257" s="13"/>
      <c r="D257" s="13"/>
      <c r="E257" s="22" t="str">
        <f aca="false">IF(OR(C257="",D257=""),"",IF(Parámetros!$B$6="Calendario",D257-C257+1,NETWORKDAYS.INTL(C257,D257,Parámetros!$B$8,Parámetros!$D$12:$D$41)))</f>
        <v/>
      </c>
      <c r="F257" s="18" t="str">
        <f aca="false">IF(D257="","",IF(Parámetros!$B$6="Calendario",D257+1,WORKDAY.INTL(D257,1,Parámetros!$B$8,Parámetros!$D$12:$D$41)))</f>
        <v/>
      </c>
      <c r="G257" s="12"/>
      <c r="H257" s="6"/>
      <c r="I257" s="12"/>
      <c r="J257" s="6"/>
      <c r="K257" s="12"/>
    </row>
    <row r="258" customFormat="false" ht="15" hidden="false" customHeight="false" outlineLevel="0" collapsed="false">
      <c r="A258" s="6"/>
      <c r="B258" s="24" t="str">
        <f aca="false">IF(A258="","",IFERROR(INDEX(Empleados!$B$5:$B$64,MATCH(A258,Empleados!$A$5:$A$64,0)),"ID no encontrado"))</f>
        <v/>
      </c>
      <c r="C258" s="13"/>
      <c r="D258" s="13"/>
      <c r="E258" s="22" t="str">
        <f aca="false">IF(OR(C258="",D258=""),"",IF(Parámetros!$B$6="Calendario",D258-C258+1,NETWORKDAYS.INTL(C258,D258,Parámetros!$B$8,Parámetros!$D$12:$D$41)))</f>
        <v/>
      </c>
      <c r="F258" s="18" t="str">
        <f aca="false">IF(D258="","",IF(Parámetros!$B$6="Calendario",D258+1,WORKDAY.INTL(D258,1,Parámetros!$B$8,Parámetros!$D$12:$D$41)))</f>
        <v/>
      </c>
      <c r="G258" s="12"/>
      <c r="H258" s="6"/>
      <c r="I258" s="12"/>
      <c r="J258" s="6"/>
      <c r="K258" s="12"/>
    </row>
    <row r="259" customFormat="false" ht="15" hidden="false" customHeight="false" outlineLevel="0" collapsed="false">
      <c r="A259" s="6"/>
      <c r="B259" s="24" t="str">
        <f aca="false">IF(A259="","",IFERROR(INDEX(Empleados!$B$5:$B$64,MATCH(A259,Empleados!$A$5:$A$64,0)),"ID no encontrado"))</f>
        <v/>
      </c>
      <c r="C259" s="13"/>
      <c r="D259" s="13"/>
      <c r="E259" s="22" t="str">
        <f aca="false">IF(OR(C259="",D259=""),"",IF(Parámetros!$B$6="Calendario",D259-C259+1,NETWORKDAYS.INTL(C259,D259,Parámetros!$B$8,Parámetros!$D$12:$D$41)))</f>
        <v/>
      </c>
      <c r="F259" s="18" t="str">
        <f aca="false">IF(D259="","",IF(Parámetros!$B$6="Calendario",D259+1,WORKDAY.INTL(D259,1,Parámetros!$B$8,Parámetros!$D$12:$D$41)))</f>
        <v/>
      </c>
      <c r="G259" s="12"/>
      <c r="H259" s="6"/>
      <c r="I259" s="12"/>
      <c r="J259" s="6"/>
      <c r="K259" s="12"/>
    </row>
    <row r="260" customFormat="false" ht="15" hidden="false" customHeight="false" outlineLevel="0" collapsed="false">
      <c r="A260" s="6"/>
      <c r="B260" s="24" t="str">
        <f aca="false">IF(A260="","",IFERROR(INDEX(Empleados!$B$5:$B$64,MATCH(A260,Empleados!$A$5:$A$64,0)),"ID no encontrado"))</f>
        <v/>
      </c>
      <c r="C260" s="13"/>
      <c r="D260" s="13"/>
      <c r="E260" s="22" t="str">
        <f aca="false">IF(OR(C260="",D260=""),"",IF(Parámetros!$B$6="Calendario",D260-C260+1,NETWORKDAYS.INTL(C260,D260,Parámetros!$B$8,Parámetros!$D$12:$D$41)))</f>
        <v/>
      </c>
      <c r="F260" s="18" t="str">
        <f aca="false">IF(D260="","",IF(Parámetros!$B$6="Calendario",D260+1,WORKDAY.INTL(D260,1,Parámetros!$B$8,Parámetros!$D$12:$D$41)))</f>
        <v/>
      </c>
      <c r="G260" s="12"/>
      <c r="H260" s="6"/>
      <c r="I260" s="12"/>
      <c r="J260" s="6"/>
      <c r="K260" s="12"/>
    </row>
    <row r="261" customFormat="false" ht="15" hidden="false" customHeight="false" outlineLevel="0" collapsed="false">
      <c r="A261" s="6"/>
      <c r="B261" s="24" t="str">
        <f aca="false">IF(A261="","",IFERROR(INDEX(Empleados!$B$5:$B$64,MATCH(A261,Empleados!$A$5:$A$64,0)),"ID no encontrado"))</f>
        <v/>
      </c>
      <c r="C261" s="13"/>
      <c r="D261" s="13"/>
      <c r="E261" s="22" t="str">
        <f aca="false">IF(OR(C261="",D261=""),"",IF(Parámetros!$B$6="Calendario",D261-C261+1,NETWORKDAYS.INTL(C261,D261,Parámetros!$B$8,Parámetros!$D$12:$D$41)))</f>
        <v/>
      </c>
      <c r="F261" s="18" t="str">
        <f aca="false">IF(D261="","",IF(Parámetros!$B$6="Calendario",D261+1,WORKDAY.INTL(D261,1,Parámetros!$B$8,Parámetros!$D$12:$D$41)))</f>
        <v/>
      </c>
      <c r="G261" s="12"/>
      <c r="H261" s="6"/>
      <c r="I261" s="12"/>
      <c r="J261" s="6"/>
      <c r="K261" s="12"/>
    </row>
    <row r="262" customFormat="false" ht="15" hidden="false" customHeight="false" outlineLevel="0" collapsed="false">
      <c r="A262" s="6"/>
      <c r="B262" s="24" t="str">
        <f aca="false">IF(A262="","",IFERROR(INDEX(Empleados!$B$5:$B$64,MATCH(A262,Empleados!$A$5:$A$64,0)),"ID no encontrado"))</f>
        <v/>
      </c>
      <c r="C262" s="13"/>
      <c r="D262" s="13"/>
      <c r="E262" s="22" t="str">
        <f aca="false">IF(OR(C262="",D262=""),"",IF(Parámetros!$B$6="Calendario",D262-C262+1,NETWORKDAYS.INTL(C262,D262,Parámetros!$B$8,Parámetros!$D$12:$D$41)))</f>
        <v/>
      </c>
      <c r="F262" s="18" t="str">
        <f aca="false">IF(D262="","",IF(Parámetros!$B$6="Calendario",D262+1,WORKDAY.INTL(D262,1,Parámetros!$B$8,Parámetros!$D$12:$D$41)))</f>
        <v/>
      </c>
      <c r="G262" s="12"/>
      <c r="H262" s="6"/>
      <c r="I262" s="12"/>
      <c r="J262" s="6"/>
      <c r="K262" s="12"/>
    </row>
    <row r="263" customFormat="false" ht="15" hidden="false" customHeight="false" outlineLevel="0" collapsed="false">
      <c r="A263" s="6"/>
      <c r="B263" s="24" t="str">
        <f aca="false">IF(A263="","",IFERROR(INDEX(Empleados!$B$5:$B$64,MATCH(A263,Empleados!$A$5:$A$64,0)),"ID no encontrado"))</f>
        <v/>
      </c>
      <c r="C263" s="13"/>
      <c r="D263" s="13"/>
      <c r="E263" s="22" t="str">
        <f aca="false">IF(OR(C263="",D263=""),"",IF(Parámetros!$B$6="Calendario",D263-C263+1,NETWORKDAYS.INTL(C263,D263,Parámetros!$B$8,Parámetros!$D$12:$D$41)))</f>
        <v/>
      </c>
      <c r="F263" s="18" t="str">
        <f aca="false">IF(D263="","",IF(Parámetros!$B$6="Calendario",D263+1,WORKDAY.INTL(D263,1,Parámetros!$B$8,Parámetros!$D$12:$D$41)))</f>
        <v/>
      </c>
      <c r="G263" s="12"/>
      <c r="H263" s="6"/>
      <c r="I263" s="12"/>
      <c r="J263" s="6"/>
      <c r="K263" s="12"/>
    </row>
    <row r="264" customFormat="false" ht="15" hidden="false" customHeight="false" outlineLevel="0" collapsed="false">
      <c r="A264" s="6"/>
      <c r="B264" s="24" t="str">
        <f aca="false">IF(A264="","",IFERROR(INDEX(Empleados!$B$5:$B$64,MATCH(A264,Empleados!$A$5:$A$64,0)),"ID no encontrado"))</f>
        <v/>
      </c>
      <c r="C264" s="13"/>
      <c r="D264" s="13"/>
      <c r="E264" s="22" t="str">
        <f aca="false">IF(OR(C264="",D264=""),"",IF(Parámetros!$B$6="Calendario",D264-C264+1,NETWORKDAYS.INTL(C264,D264,Parámetros!$B$8,Parámetros!$D$12:$D$41)))</f>
        <v/>
      </c>
      <c r="F264" s="18" t="str">
        <f aca="false">IF(D264="","",IF(Parámetros!$B$6="Calendario",D264+1,WORKDAY.INTL(D264,1,Parámetros!$B$8,Parámetros!$D$12:$D$41)))</f>
        <v/>
      </c>
      <c r="G264" s="12"/>
      <c r="H264" s="6"/>
      <c r="I264" s="12"/>
      <c r="J264" s="6"/>
      <c r="K264" s="12"/>
    </row>
    <row r="265" customFormat="false" ht="15" hidden="false" customHeight="false" outlineLevel="0" collapsed="false">
      <c r="A265" s="6"/>
      <c r="B265" s="24" t="str">
        <f aca="false">IF(A265="","",IFERROR(INDEX(Empleados!$B$5:$B$64,MATCH(A265,Empleados!$A$5:$A$64,0)),"ID no encontrado"))</f>
        <v/>
      </c>
      <c r="C265" s="13"/>
      <c r="D265" s="13"/>
      <c r="E265" s="22" t="str">
        <f aca="false">IF(OR(C265="",D265=""),"",IF(Parámetros!$B$6="Calendario",D265-C265+1,NETWORKDAYS.INTL(C265,D265,Parámetros!$B$8,Parámetros!$D$12:$D$41)))</f>
        <v/>
      </c>
      <c r="F265" s="18" t="str">
        <f aca="false">IF(D265="","",IF(Parámetros!$B$6="Calendario",D265+1,WORKDAY.INTL(D265,1,Parámetros!$B$8,Parámetros!$D$12:$D$41)))</f>
        <v/>
      </c>
      <c r="G265" s="12"/>
      <c r="H265" s="6"/>
      <c r="I265" s="12"/>
      <c r="J265" s="6"/>
      <c r="K265" s="12"/>
    </row>
    <row r="266" customFormat="false" ht="15" hidden="false" customHeight="false" outlineLevel="0" collapsed="false">
      <c r="A266" s="6"/>
      <c r="B266" s="24" t="str">
        <f aca="false">IF(A266="","",IFERROR(INDEX(Empleados!$B$5:$B$64,MATCH(A266,Empleados!$A$5:$A$64,0)),"ID no encontrado"))</f>
        <v/>
      </c>
      <c r="C266" s="13"/>
      <c r="D266" s="13"/>
      <c r="E266" s="22" t="str">
        <f aca="false">IF(OR(C266="",D266=""),"",IF(Parámetros!$B$6="Calendario",D266-C266+1,NETWORKDAYS.INTL(C266,D266,Parámetros!$B$8,Parámetros!$D$12:$D$41)))</f>
        <v/>
      </c>
      <c r="F266" s="18" t="str">
        <f aca="false">IF(D266="","",IF(Parámetros!$B$6="Calendario",D266+1,WORKDAY.INTL(D266,1,Parámetros!$B$8,Parámetros!$D$12:$D$41)))</f>
        <v/>
      </c>
      <c r="G266" s="12"/>
      <c r="H266" s="6"/>
      <c r="I266" s="12"/>
      <c r="J266" s="6"/>
      <c r="K266" s="12"/>
    </row>
    <row r="267" customFormat="false" ht="15" hidden="false" customHeight="false" outlineLevel="0" collapsed="false">
      <c r="A267" s="6"/>
      <c r="B267" s="24" t="str">
        <f aca="false">IF(A267="","",IFERROR(INDEX(Empleados!$B$5:$B$64,MATCH(A267,Empleados!$A$5:$A$64,0)),"ID no encontrado"))</f>
        <v/>
      </c>
      <c r="C267" s="13"/>
      <c r="D267" s="13"/>
      <c r="E267" s="22" t="str">
        <f aca="false">IF(OR(C267="",D267=""),"",IF(Parámetros!$B$6="Calendario",D267-C267+1,NETWORKDAYS.INTL(C267,D267,Parámetros!$B$8,Parámetros!$D$12:$D$41)))</f>
        <v/>
      </c>
      <c r="F267" s="18" t="str">
        <f aca="false">IF(D267="","",IF(Parámetros!$B$6="Calendario",D267+1,WORKDAY.INTL(D267,1,Parámetros!$B$8,Parámetros!$D$12:$D$41)))</f>
        <v/>
      </c>
      <c r="G267" s="12"/>
      <c r="H267" s="6"/>
      <c r="I267" s="12"/>
      <c r="J267" s="6"/>
      <c r="K267" s="12"/>
    </row>
    <row r="268" customFormat="false" ht="15" hidden="false" customHeight="false" outlineLevel="0" collapsed="false">
      <c r="A268" s="6"/>
      <c r="B268" s="24" t="str">
        <f aca="false">IF(A268="","",IFERROR(INDEX(Empleados!$B$5:$B$64,MATCH(A268,Empleados!$A$5:$A$64,0)),"ID no encontrado"))</f>
        <v/>
      </c>
      <c r="C268" s="13"/>
      <c r="D268" s="13"/>
      <c r="E268" s="22" t="str">
        <f aca="false">IF(OR(C268="",D268=""),"",IF(Parámetros!$B$6="Calendario",D268-C268+1,NETWORKDAYS.INTL(C268,D268,Parámetros!$B$8,Parámetros!$D$12:$D$41)))</f>
        <v/>
      </c>
      <c r="F268" s="18" t="str">
        <f aca="false">IF(D268="","",IF(Parámetros!$B$6="Calendario",D268+1,WORKDAY.INTL(D268,1,Parámetros!$B$8,Parámetros!$D$12:$D$41)))</f>
        <v/>
      </c>
      <c r="G268" s="12"/>
      <c r="H268" s="6"/>
      <c r="I268" s="12"/>
      <c r="J268" s="6"/>
      <c r="K268" s="12"/>
    </row>
    <row r="269" customFormat="false" ht="15" hidden="false" customHeight="false" outlineLevel="0" collapsed="false">
      <c r="A269" s="6"/>
      <c r="B269" s="24" t="str">
        <f aca="false">IF(A269="","",IFERROR(INDEX(Empleados!$B$5:$B$64,MATCH(A269,Empleados!$A$5:$A$64,0)),"ID no encontrado"))</f>
        <v/>
      </c>
      <c r="C269" s="13"/>
      <c r="D269" s="13"/>
      <c r="E269" s="22" t="str">
        <f aca="false">IF(OR(C269="",D269=""),"",IF(Parámetros!$B$6="Calendario",D269-C269+1,NETWORKDAYS.INTL(C269,D269,Parámetros!$B$8,Parámetros!$D$12:$D$41)))</f>
        <v/>
      </c>
      <c r="F269" s="18" t="str">
        <f aca="false">IF(D269="","",IF(Parámetros!$B$6="Calendario",D269+1,WORKDAY.INTL(D269,1,Parámetros!$B$8,Parámetros!$D$12:$D$41)))</f>
        <v/>
      </c>
      <c r="G269" s="12"/>
      <c r="H269" s="6"/>
      <c r="I269" s="12"/>
      <c r="J269" s="6"/>
      <c r="K269" s="12"/>
    </row>
    <row r="270" customFormat="false" ht="15" hidden="false" customHeight="false" outlineLevel="0" collapsed="false">
      <c r="A270" s="6"/>
      <c r="B270" s="24" t="str">
        <f aca="false">IF(A270="","",IFERROR(INDEX(Empleados!$B$5:$B$64,MATCH(A270,Empleados!$A$5:$A$64,0)),"ID no encontrado"))</f>
        <v/>
      </c>
      <c r="C270" s="13"/>
      <c r="D270" s="13"/>
      <c r="E270" s="22" t="str">
        <f aca="false">IF(OR(C270="",D270=""),"",IF(Parámetros!$B$6="Calendario",D270-C270+1,NETWORKDAYS.INTL(C270,D270,Parámetros!$B$8,Parámetros!$D$12:$D$41)))</f>
        <v/>
      </c>
      <c r="F270" s="18" t="str">
        <f aca="false">IF(D270="","",IF(Parámetros!$B$6="Calendario",D270+1,WORKDAY.INTL(D270,1,Parámetros!$B$8,Parámetros!$D$12:$D$41)))</f>
        <v/>
      </c>
      <c r="G270" s="12"/>
      <c r="H270" s="6"/>
      <c r="I270" s="12"/>
      <c r="J270" s="6"/>
      <c r="K270" s="12"/>
    </row>
    <row r="271" customFormat="false" ht="15" hidden="false" customHeight="false" outlineLevel="0" collapsed="false">
      <c r="A271" s="6"/>
      <c r="B271" s="24" t="str">
        <f aca="false">IF(A271="","",IFERROR(INDEX(Empleados!$B$5:$B$64,MATCH(A271,Empleados!$A$5:$A$64,0)),"ID no encontrado"))</f>
        <v/>
      </c>
      <c r="C271" s="13"/>
      <c r="D271" s="13"/>
      <c r="E271" s="22" t="str">
        <f aca="false">IF(OR(C271="",D271=""),"",IF(Parámetros!$B$6="Calendario",D271-C271+1,NETWORKDAYS.INTL(C271,D271,Parámetros!$B$8,Parámetros!$D$12:$D$41)))</f>
        <v/>
      </c>
      <c r="F271" s="18" t="str">
        <f aca="false">IF(D271="","",IF(Parámetros!$B$6="Calendario",D271+1,WORKDAY.INTL(D271,1,Parámetros!$B$8,Parámetros!$D$12:$D$41)))</f>
        <v/>
      </c>
      <c r="G271" s="12"/>
      <c r="H271" s="6"/>
      <c r="I271" s="12"/>
      <c r="J271" s="6"/>
      <c r="K271" s="12"/>
    </row>
    <row r="272" customFormat="false" ht="15" hidden="false" customHeight="false" outlineLevel="0" collapsed="false">
      <c r="A272" s="6"/>
      <c r="B272" s="24" t="str">
        <f aca="false">IF(A272="","",IFERROR(INDEX(Empleados!$B$5:$B$64,MATCH(A272,Empleados!$A$5:$A$64,0)),"ID no encontrado"))</f>
        <v/>
      </c>
      <c r="C272" s="13"/>
      <c r="D272" s="13"/>
      <c r="E272" s="22" t="str">
        <f aca="false">IF(OR(C272="",D272=""),"",IF(Parámetros!$B$6="Calendario",D272-C272+1,NETWORKDAYS.INTL(C272,D272,Parámetros!$B$8,Parámetros!$D$12:$D$41)))</f>
        <v/>
      </c>
      <c r="F272" s="18" t="str">
        <f aca="false">IF(D272="","",IF(Parámetros!$B$6="Calendario",D272+1,WORKDAY.INTL(D272,1,Parámetros!$B$8,Parámetros!$D$12:$D$41)))</f>
        <v/>
      </c>
      <c r="G272" s="12"/>
      <c r="H272" s="6"/>
      <c r="I272" s="12"/>
      <c r="J272" s="6"/>
      <c r="K272" s="12"/>
    </row>
    <row r="273" customFormat="false" ht="15" hidden="false" customHeight="false" outlineLevel="0" collapsed="false">
      <c r="A273" s="6"/>
      <c r="B273" s="24" t="str">
        <f aca="false">IF(A273="","",IFERROR(INDEX(Empleados!$B$5:$B$64,MATCH(A273,Empleados!$A$5:$A$64,0)),"ID no encontrado"))</f>
        <v/>
      </c>
      <c r="C273" s="13"/>
      <c r="D273" s="13"/>
      <c r="E273" s="22" t="str">
        <f aca="false">IF(OR(C273="",D273=""),"",IF(Parámetros!$B$6="Calendario",D273-C273+1,NETWORKDAYS.INTL(C273,D273,Parámetros!$B$8,Parámetros!$D$12:$D$41)))</f>
        <v/>
      </c>
      <c r="F273" s="18" t="str">
        <f aca="false">IF(D273="","",IF(Parámetros!$B$6="Calendario",D273+1,WORKDAY.INTL(D273,1,Parámetros!$B$8,Parámetros!$D$12:$D$41)))</f>
        <v/>
      </c>
      <c r="G273" s="12"/>
      <c r="H273" s="6"/>
      <c r="I273" s="12"/>
      <c r="J273" s="6"/>
      <c r="K273" s="12"/>
    </row>
    <row r="274" customFormat="false" ht="15" hidden="false" customHeight="false" outlineLevel="0" collapsed="false">
      <c r="A274" s="6"/>
      <c r="B274" s="24" t="str">
        <f aca="false">IF(A274="","",IFERROR(INDEX(Empleados!$B$5:$B$64,MATCH(A274,Empleados!$A$5:$A$64,0)),"ID no encontrado"))</f>
        <v/>
      </c>
      <c r="C274" s="13"/>
      <c r="D274" s="13"/>
      <c r="E274" s="22" t="str">
        <f aca="false">IF(OR(C274="",D274=""),"",IF(Parámetros!$B$6="Calendario",D274-C274+1,NETWORKDAYS.INTL(C274,D274,Parámetros!$B$8,Parámetros!$D$12:$D$41)))</f>
        <v/>
      </c>
      <c r="F274" s="18" t="str">
        <f aca="false">IF(D274="","",IF(Parámetros!$B$6="Calendario",D274+1,WORKDAY.INTL(D274,1,Parámetros!$B$8,Parámetros!$D$12:$D$41)))</f>
        <v/>
      </c>
      <c r="G274" s="12"/>
      <c r="H274" s="6"/>
      <c r="I274" s="12"/>
      <c r="J274" s="6"/>
      <c r="K274" s="12"/>
    </row>
    <row r="275" customFormat="false" ht="15" hidden="false" customHeight="false" outlineLevel="0" collapsed="false">
      <c r="A275" s="6"/>
      <c r="B275" s="24" t="str">
        <f aca="false">IF(A275="","",IFERROR(INDEX(Empleados!$B$5:$B$64,MATCH(A275,Empleados!$A$5:$A$64,0)),"ID no encontrado"))</f>
        <v/>
      </c>
      <c r="C275" s="13"/>
      <c r="D275" s="13"/>
      <c r="E275" s="22" t="str">
        <f aca="false">IF(OR(C275="",D275=""),"",IF(Parámetros!$B$6="Calendario",D275-C275+1,NETWORKDAYS.INTL(C275,D275,Parámetros!$B$8,Parámetros!$D$12:$D$41)))</f>
        <v/>
      </c>
      <c r="F275" s="18" t="str">
        <f aca="false">IF(D275="","",IF(Parámetros!$B$6="Calendario",D275+1,WORKDAY.INTL(D275,1,Parámetros!$B$8,Parámetros!$D$12:$D$41)))</f>
        <v/>
      </c>
      <c r="G275" s="12"/>
      <c r="H275" s="6"/>
      <c r="I275" s="12"/>
      <c r="J275" s="6"/>
      <c r="K275" s="12"/>
    </row>
    <row r="276" customFormat="false" ht="15" hidden="false" customHeight="false" outlineLevel="0" collapsed="false">
      <c r="A276" s="6"/>
      <c r="B276" s="24" t="str">
        <f aca="false">IF(A276="","",IFERROR(INDEX(Empleados!$B$5:$B$64,MATCH(A276,Empleados!$A$5:$A$64,0)),"ID no encontrado"))</f>
        <v/>
      </c>
      <c r="C276" s="13"/>
      <c r="D276" s="13"/>
      <c r="E276" s="22" t="str">
        <f aca="false">IF(OR(C276="",D276=""),"",IF(Parámetros!$B$6="Calendario",D276-C276+1,NETWORKDAYS.INTL(C276,D276,Parámetros!$B$8,Parámetros!$D$12:$D$41)))</f>
        <v/>
      </c>
      <c r="F276" s="18" t="str">
        <f aca="false">IF(D276="","",IF(Parámetros!$B$6="Calendario",D276+1,WORKDAY.INTL(D276,1,Parámetros!$B$8,Parámetros!$D$12:$D$41)))</f>
        <v/>
      </c>
      <c r="G276" s="12"/>
      <c r="H276" s="6"/>
      <c r="I276" s="12"/>
      <c r="J276" s="6"/>
      <c r="K276" s="12"/>
    </row>
    <row r="277" customFormat="false" ht="15" hidden="false" customHeight="false" outlineLevel="0" collapsed="false">
      <c r="A277" s="6"/>
      <c r="B277" s="24" t="str">
        <f aca="false">IF(A277="","",IFERROR(INDEX(Empleados!$B$5:$B$64,MATCH(A277,Empleados!$A$5:$A$64,0)),"ID no encontrado"))</f>
        <v/>
      </c>
      <c r="C277" s="13"/>
      <c r="D277" s="13"/>
      <c r="E277" s="22" t="str">
        <f aca="false">IF(OR(C277="",D277=""),"",IF(Parámetros!$B$6="Calendario",D277-C277+1,NETWORKDAYS.INTL(C277,D277,Parámetros!$B$8,Parámetros!$D$12:$D$41)))</f>
        <v/>
      </c>
      <c r="F277" s="18" t="str">
        <f aca="false">IF(D277="","",IF(Parámetros!$B$6="Calendario",D277+1,WORKDAY.INTL(D277,1,Parámetros!$B$8,Parámetros!$D$12:$D$41)))</f>
        <v/>
      </c>
      <c r="G277" s="12"/>
      <c r="H277" s="6"/>
      <c r="I277" s="12"/>
      <c r="J277" s="6"/>
      <c r="K277" s="12"/>
    </row>
    <row r="278" customFormat="false" ht="15" hidden="false" customHeight="false" outlineLevel="0" collapsed="false">
      <c r="A278" s="6"/>
      <c r="B278" s="24" t="str">
        <f aca="false">IF(A278="","",IFERROR(INDEX(Empleados!$B$5:$B$64,MATCH(A278,Empleados!$A$5:$A$64,0)),"ID no encontrado"))</f>
        <v/>
      </c>
      <c r="C278" s="13"/>
      <c r="D278" s="13"/>
      <c r="E278" s="22" t="str">
        <f aca="false">IF(OR(C278="",D278=""),"",IF(Parámetros!$B$6="Calendario",D278-C278+1,NETWORKDAYS.INTL(C278,D278,Parámetros!$B$8,Parámetros!$D$12:$D$41)))</f>
        <v/>
      </c>
      <c r="F278" s="18" t="str">
        <f aca="false">IF(D278="","",IF(Parámetros!$B$6="Calendario",D278+1,WORKDAY.INTL(D278,1,Parámetros!$B$8,Parámetros!$D$12:$D$41)))</f>
        <v/>
      </c>
      <c r="G278" s="12"/>
      <c r="H278" s="6"/>
      <c r="I278" s="12"/>
      <c r="J278" s="6"/>
      <c r="K278" s="12"/>
    </row>
    <row r="279" customFormat="false" ht="15" hidden="false" customHeight="false" outlineLevel="0" collapsed="false">
      <c r="A279" s="6"/>
      <c r="B279" s="24" t="str">
        <f aca="false">IF(A279="","",IFERROR(INDEX(Empleados!$B$5:$B$64,MATCH(A279,Empleados!$A$5:$A$64,0)),"ID no encontrado"))</f>
        <v/>
      </c>
      <c r="C279" s="13"/>
      <c r="D279" s="13"/>
      <c r="E279" s="22" t="str">
        <f aca="false">IF(OR(C279="",D279=""),"",IF(Parámetros!$B$6="Calendario",D279-C279+1,NETWORKDAYS.INTL(C279,D279,Parámetros!$B$8,Parámetros!$D$12:$D$41)))</f>
        <v/>
      </c>
      <c r="F279" s="18" t="str">
        <f aca="false">IF(D279="","",IF(Parámetros!$B$6="Calendario",D279+1,WORKDAY.INTL(D279,1,Parámetros!$B$8,Parámetros!$D$12:$D$41)))</f>
        <v/>
      </c>
      <c r="G279" s="12"/>
      <c r="H279" s="6"/>
      <c r="I279" s="12"/>
      <c r="J279" s="6"/>
      <c r="K279" s="12"/>
    </row>
    <row r="280" customFormat="false" ht="15" hidden="false" customHeight="false" outlineLevel="0" collapsed="false">
      <c r="A280" s="6"/>
      <c r="B280" s="24" t="str">
        <f aca="false">IF(A280="","",IFERROR(INDEX(Empleados!$B$5:$B$64,MATCH(A280,Empleados!$A$5:$A$64,0)),"ID no encontrado"))</f>
        <v/>
      </c>
      <c r="C280" s="13"/>
      <c r="D280" s="13"/>
      <c r="E280" s="22" t="str">
        <f aca="false">IF(OR(C280="",D280=""),"",IF(Parámetros!$B$6="Calendario",D280-C280+1,NETWORKDAYS.INTL(C280,D280,Parámetros!$B$8,Parámetros!$D$12:$D$41)))</f>
        <v/>
      </c>
      <c r="F280" s="18" t="str">
        <f aca="false">IF(D280="","",IF(Parámetros!$B$6="Calendario",D280+1,WORKDAY.INTL(D280,1,Parámetros!$B$8,Parámetros!$D$12:$D$41)))</f>
        <v/>
      </c>
      <c r="G280" s="12"/>
      <c r="H280" s="6"/>
      <c r="I280" s="12"/>
      <c r="J280" s="6"/>
      <c r="K280" s="12"/>
    </row>
    <row r="281" customFormat="false" ht="15" hidden="false" customHeight="false" outlineLevel="0" collapsed="false">
      <c r="A281" s="6"/>
      <c r="B281" s="24" t="str">
        <f aca="false">IF(A281="","",IFERROR(INDEX(Empleados!$B$5:$B$64,MATCH(A281,Empleados!$A$5:$A$64,0)),"ID no encontrado"))</f>
        <v/>
      </c>
      <c r="C281" s="13"/>
      <c r="D281" s="13"/>
      <c r="E281" s="22" t="str">
        <f aca="false">IF(OR(C281="",D281=""),"",IF(Parámetros!$B$6="Calendario",D281-C281+1,NETWORKDAYS.INTL(C281,D281,Parámetros!$B$8,Parámetros!$D$12:$D$41)))</f>
        <v/>
      </c>
      <c r="F281" s="18" t="str">
        <f aca="false">IF(D281="","",IF(Parámetros!$B$6="Calendario",D281+1,WORKDAY.INTL(D281,1,Parámetros!$B$8,Parámetros!$D$12:$D$41)))</f>
        <v/>
      </c>
      <c r="G281" s="12"/>
      <c r="H281" s="6"/>
      <c r="I281" s="12"/>
      <c r="J281" s="6"/>
      <c r="K281" s="12"/>
    </row>
    <row r="282" customFormat="false" ht="15" hidden="false" customHeight="false" outlineLevel="0" collapsed="false">
      <c r="A282" s="6"/>
      <c r="B282" s="24" t="str">
        <f aca="false">IF(A282="","",IFERROR(INDEX(Empleados!$B$5:$B$64,MATCH(A282,Empleados!$A$5:$A$64,0)),"ID no encontrado"))</f>
        <v/>
      </c>
      <c r="C282" s="13"/>
      <c r="D282" s="13"/>
      <c r="E282" s="22" t="str">
        <f aca="false">IF(OR(C282="",D282=""),"",IF(Parámetros!$B$6="Calendario",D282-C282+1,NETWORKDAYS.INTL(C282,D282,Parámetros!$B$8,Parámetros!$D$12:$D$41)))</f>
        <v/>
      </c>
      <c r="F282" s="18" t="str">
        <f aca="false">IF(D282="","",IF(Parámetros!$B$6="Calendario",D282+1,WORKDAY.INTL(D282,1,Parámetros!$B$8,Parámetros!$D$12:$D$41)))</f>
        <v/>
      </c>
      <c r="G282" s="12"/>
      <c r="H282" s="6"/>
      <c r="I282" s="12"/>
      <c r="J282" s="6"/>
      <c r="K282" s="12"/>
    </row>
    <row r="283" customFormat="false" ht="15" hidden="false" customHeight="false" outlineLevel="0" collapsed="false">
      <c r="A283" s="6"/>
      <c r="B283" s="24" t="str">
        <f aca="false">IF(A283="","",IFERROR(INDEX(Empleados!$B$5:$B$64,MATCH(A283,Empleados!$A$5:$A$64,0)),"ID no encontrado"))</f>
        <v/>
      </c>
      <c r="C283" s="13"/>
      <c r="D283" s="13"/>
      <c r="E283" s="22" t="str">
        <f aca="false">IF(OR(C283="",D283=""),"",IF(Parámetros!$B$6="Calendario",D283-C283+1,NETWORKDAYS.INTL(C283,D283,Parámetros!$B$8,Parámetros!$D$12:$D$41)))</f>
        <v/>
      </c>
      <c r="F283" s="18" t="str">
        <f aca="false">IF(D283="","",IF(Parámetros!$B$6="Calendario",D283+1,WORKDAY.INTL(D283,1,Parámetros!$B$8,Parámetros!$D$12:$D$41)))</f>
        <v/>
      </c>
      <c r="G283" s="12"/>
      <c r="H283" s="6"/>
      <c r="I283" s="12"/>
      <c r="J283" s="6"/>
      <c r="K283" s="12"/>
    </row>
    <row r="284" customFormat="false" ht="15" hidden="false" customHeight="false" outlineLevel="0" collapsed="false">
      <c r="A284" s="6"/>
      <c r="B284" s="24" t="str">
        <f aca="false">IF(A284="","",IFERROR(INDEX(Empleados!$B$5:$B$64,MATCH(A284,Empleados!$A$5:$A$64,0)),"ID no encontrado"))</f>
        <v/>
      </c>
      <c r="C284" s="13"/>
      <c r="D284" s="13"/>
      <c r="E284" s="22" t="str">
        <f aca="false">IF(OR(C284="",D284=""),"",IF(Parámetros!$B$6="Calendario",D284-C284+1,NETWORKDAYS.INTL(C284,D284,Parámetros!$B$8,Parámetros!$D$12:$D$41)))</f>
        <v/>
      </c>
      <c r="F284" s="18" t="str">
        <f aca="false">IF(D284="","",IF(Parámetros!$B$6="Calendario",D284+1,WORKDAY.INTL(D284,1,Parámetros!$B$8,Parámetros!$D$12:$D$41)))</f>
        <v/>
      </c>
      <c r="G284" s="12"/>
      <c r="H284" s="6"/>
      <c r="I284" s="12"/>
      <c r="J284" s="6"/>
      <c r="K284" s="12"/>
    </row>
    <row r="285" customFormat="false" ht="15" hidden="false" customHeight="false" outlineLevel="0" collapsed="false">
      <c r="A285" s="6"/>
      <c r="B285" s="24" t="str">
        <f aca="false">IF(A285="","",IFERROR(INDEX(Empleados!$B$5:$B$64,MATCH(A285,Empleados!$A$5:$A$64,0)),"ID no encontrado"))</f>
        <v/>
      </c>
      <c r="C285" s="13"/>
      <c r="D285" s="13"/>
      <c r="E285" s="22" t="str">
        <f aca="false">IF(OR(C285="",D285=""),"",IF(Parámetros!$B$6="Calendario",D285-C285+1,NETWORKDAYS.INTL(C285,D285,Parámetros!$B$8,Parámetros!$D$12:$D$41)))</f>
        <v/>
      </c>
      <c r="F285" s="18" t="str">
        <f aca="false">IF(D285="","",IF(Parámetros!$B$6="Calendario",D285+1,WORKDAY.INTL(D285,1,Parámetros!$B$8,Parámetros!$D$12:$D$41)))</f>
        <v/>
      </c>
      <c r="G285" s="12"/>
      <c r="H285" s="6"/>
      <c r="I285" s="12"/>
      <c r="J285" s="6"/>
      <c r="K285" s="12"/>
    </row>
    <row r="286" customFormat="false" ht="15" hidden="false" customHeight="false" outlineLevel="0" collapsed="false">
      <c r="A286" s="6"/>
      <c r="B286" s="24" t="str">
        <f aca="false">IF(A286="","",IFERROR(INDEX(Empleados!$B$5:$B$64,MATCH(A286,Empleados!$A$5:$A$64,0)),"ID no encontrado"))</f>
        <v/>
      </c>
      <c r="C286" s="13"/>
      <c r="D286" s="13"/>
      <c r="E286" s="22" t="str">
        <f aca="false">IF(OR(C286="",D286=""),"",IF(Parámetros!$B$6="Calendario",D286-C286+1,NETWORKDAYS.INTL(C286,D286,Parámetros!$B$8,Parámetros!$D$12:$D$41)))</f>
        <v/>
      </c>
      <c r="F286" s="18" t="str">
        <f aca="false">IF(D286="","",IF(Parámetros!$B$6="Calendario",D286+1,WORKDAY.INTL(D286,1,Parámetros!$B$8,Parámetros!$D$12:$D$41)))</f>
        <v/>
      </c>
      <c r="G286" s="12"/>
      <c r="H286" s="6"/>
      <c r="I286" s="12"/>
      <c r="J286" s="6"/>
      <c r="K286" s="12"/>
    </row>
    <row r="287" customFormat="false" ht="15" hidden="false" customHeight="false" outlineLevel="0" collapsed="false">
      <c r="A287" s="6"/>
      <c r="B287" s="24" t="str">
        <f aca="false">IF(A287="","",IFERROR(INDEX(Empleados!$B$5:$B$64,MATCH(A287,Empleados!$A$5:$A$64,0)),"ID no encontrado"))</f>
        <v/>
      </c>
      <c r="C287" s="13"/>
      <c r="D287" s="13"/>
      <c r="E287" s="22" t="str">
        <f aca="false">IF(OR(C287="",D287=""),"",IF(Parámetros!$B$6="Calendario",D287-C287+1,NETWORKDAYS.INTL(C287,D287,Parámetros!$B$8,Parámetros!$D$12:$D$41)))</f>
        <v/>
      </c>
      <c r="F287" s="18" t="str">
        <f aca="false">IF(D287="","",IF(Parámetros!$B$6="Calendario",D287+1,WORKDAY.INTL(D287,1,Parámetros!$B$8,Parámetros!$D$12:$D$41)))</f>
        <v/>
      </c>
      <c r="G287" s="12"/>
      <c r="H287" s="6"/>
      <c r="I287" s="12"/>
      <c r="J287" s="6"/>
      <c r="K287" s="12"/>
    </row>
    <row r="288" customFormat="false" ht="15" hidden="false" customHeight="false" outlineLevel="0" collapsed="false">
      <c r="A288" s="6"/>
      <c r="B288" s="24" t="str">
        <f aca="false">IF(A288="","",IFERROR(INDEX(Empleados!$B$5:$B$64,MATCH(A288,Empleados!$A$5:$A$64,0)),"ID no encontrado"))</f>
        <v/>
      </c>
      <c r="C288" s="13"/>
      <c r="D288" s="13"/>
      <c r="E288" s="22" t="str">
        <f aca="false">IF(OR(C288="",D288=""),"",IF(Parámetros!$B$6="Calendario",D288-C288+1,NETWORKDAYS.INTL(C288,D288,Parámetros!$B$8,Parámetros!$D$12:$D$41)))</f>
        <v/>
      </c>
      <c r="F288" s="18" t="str">
        <f aca="false">IF(D288="","",IF(Parámetros!$B$6="Calendario",D288+1,WORKDAY.INTL(D288,1,Parámetros!$B$8,Parámetros!$D$12:$D$41)))</f>
        <v/>
      </c>
      <c r="G288" s="12"/>
      <c r="H288" s="6"/>
      <c r="I288" s="12"/>
      <c r="J288" s="6"/>
      <c r="K288" s="12"/>
    </row>
    <row r="289" customFormat="false" ht="15" hidden="false" customHeight="false" outlineLevel="0" collapsed="false">
      <c r="A289" s="6"/>
      <c r="B289" s="24" t="str">
        <f aca="false">IF(A289="","",IFERROR(INDEX(Empleados!$B$5:$B$64,MATCH(A289,Empleados!$A$5:$A$64,0)),"ID no encontrado"))</f>
        <v/>
      </c>
      <c r="C289" s="13"/>
      <c r="D289" s="13"/>
      <c r="E289" s="22" t="str">
        <f aca="false">IF(OR(C289="",D289=""),"",IF(Parámetros!$B$6="Calendario",D289-C289+1,NETWORKDAYS.INTL(C289,D289,Parámetros!$B$8,Parámetros!$D$12:$D$41)))</f>
        <v/>
      </c>
      <c r="F289" s="18" t="str">
        <f aca="false">IF(D289="","",IF(Parámetros!$B$6="Calendario",D289+1,WORKDAY.INTL(D289,1,Parámetros!$B$8,Parámetros!$D$12:$D$41)))</f>
        <v/>
      </c>
      <c r="G289" s="12"/>
      <c r="H289" s="6"/>
      <c r="I289" s="12"/>
      <c r="J289" s="6"/>
      <c r="K289" s="12"/>
    </row>
    <row r="290" customFormat="false" ht="15" hidden="false" customHeight="false" outlineLevel="0" collapsed="false">
      <c r="A290" s="6"/>
      <c r="B290" s="24" t="str">
        <f aca="false">IF(A290="","",IFERROR(INDEX(Empleados!$B$5:$B$64,MATCH(A290,Empleados!$A$5:$A$64,0)),"ID no encontrado"))</f>
        <v/>
      </c>
      <c r="C290" s="13"/>
      <c r="D290" s="13"/>
      <c r="E290" s="22" t="str">
        <f aca="false">IF(OR(C290="",D290=""),"",IF(Parámetros!$B$6="Calendario",D290-C290+1,NETWORKDAYS.INTL(C290,D290,Parámetros!$B$8,Parámetros!$D$12:$D$41)))</f>
        <v/>
      </c>
      <c r="F290" s="18" t="str">
        <f aca="false">IF(D290="","",IF(Parámetros!$B$6="Calendario",D290+1,WORKDAY.INTL(D290,1,Parámetros!$B$8,Parámetros!$D$12:$D$41)))</f>
        <v/>
      </c>
      <c r="G290" s="12"/>
      <c r="H290" s="6"/>
      <c r="I290" s="12"/>
      <c r="J290" s="6"/>
      <c r="K290" s="12"/>
    </row>
    <row r="291" customFormat="false" ht="15" hidden="false" customHeight="false" outlineLevel="0" collapsed="false">
      <c r="A291" s="6"/>
      <c r="B291" s="24" t="str">
        <f aca="false">IF(A291="","",IFERROR(INDEX(Empleados!$B$5:$B$64,MATCH(A291,Empleados!$A$5:$A$64,0)),"ID no encontrado"))</f>
        <v/>
      </c>
      <c r="C291" s="13"/>
      <c r="D291" s="13"/>
      <c r="E291" s="22" t="str">
        <f aca="false">IF(OR(C291="",D291=""),"",IF(Parámetros!$B$6="Calendario",D291-C291+1,NETWORKDAYS.INTL(C291,D291,Parámetros!$B$8,Parámetros!$D$12:$D$41)))</f>
        <v/>
      </c>
      <c r="F291" s="18" t="str">
        <f aca="false">IF(D291="","",IF(Parámetros!$B$6="Calendario",D291+1,WORKDAY.INTL(D291,1,Parámetros!$B$8,Parámetros!$D$12:$D$41)))</f>
        <v/>
      </c>
      <c r="G291" s="12"/>
      <c r="H291" s="6"/>
      <c r="I291" s="12"/>
      <c r="J291" s="6"/>
      <c r="K291" s="12"/>
    </row>
    <row r="292" customFormat="false" ht="15" hidden="false" customHeight="false" outlineLevel="0" collapsed="false">
      <c r="A292" s="6"/>
      <c r="B292" s="24" t="str">
        <f aca="false">IF(A292="","",IFERROR(INDEX(Empleados!$B$5:$B$64,MATCH(A292,Empleados!$A$5:$A$64,0)),"ID no encontrado"))</f>
        <v/>
      </c>
      <c r="C292" s="13"/>
      <c r="D292" s="13"/>
      <c r="E292" s="22" t="str">
        <f aca="false">IF(OR(C292="",D292=""),"",IF(Parámetros!$B$6="Calendario",D292-C292+1,NETWORKDAYS.INTL(C292,D292,Parámetros!$B$8,Parámetros!$D$12:$D$41)))</f>
        <v/>
      </c>
      <c r="F292" s="18" t="str">
        <f aca="false">IF(D292="","",IF(Parámetros!$B$6="Calendario",D292+1,WORKDAY.INTL(D292,1,Parámetros!$B$8,Parámetros!$D$12:$D$41)))</f>
        <v/>
      </c>
      <c r="G292" s="12"/>
      <c r="H292" s="6"/>
      <c r="I292" s="12"/>
      <c r="J292" s="6"/>
      <c r="K292" s="12"/>
    </row>
    <row r="293" customFormat="false" ht="15" hidden="false" customHeight="false" outlineLevel="0" collapsed="false">
      <c r="A293" s="6"/>
      <c r="B293" s="24" t="str">
        <f aca="false">IF(A293="","",IFERROR(INDEX(Empleados!$B$5:$B$64,MATCH(A293,Empleados!$A$5:$A$64,0)),"ID no encontrado"))</f>
        <v/>
      </c>
      <c r="C293" s="13"/>
      <c r="D293" s="13"/>
      <c r="E293" s="22" t="str">
        <f aca="false">IF(OR(C293="",D293=""),"",IF(Parámetros!$B$6="Calendario",D293-C293+1,NETWORKDAYS.INTL(C293,D293,Parámetros!$B$8,Parámetros!$D$12:$D$41)))</f>
        <v/>
      </c>
      <c r="F293" s="18" t="str">
        <f aca="false">IF(D293="","",IF(Parámetros!$B$6="Calendario",D293+1,WORKDAY.INTL(D293,1,Parámetros!$B$8,Parámetros!$D$12:$D$41)))</f>
        <v/>
      </c>
      <c r="G293" s="12"/>
      <c r="H293" s="6"/>
      <c r="I293" s="12"/>
      <c r="J293" s="6"/>
      <c r="K293" s="12"/>
    </row>
    <row r="294" customFormat="false" ht="15" hidden="false" customHeight="false" outlineLevel="0" collapsed="false">
      <c r="A294" s="6"/>
      <c r="B294" s="24" t="str">
        <f aca="false">IF(A294="","",IFERROR(INDEX(Empleados!$B$5:$B$64,MATCH(A294,Empleados!$A$5:$A$64,0)),"ID no encontrado"))</f>
        <v/>
      </c>
      <c r="C294" s="13"/>
      <c r="D294" s="13"/>
      <c r="E294" s="22" t="str">
        <f aca="false">IF(OR(C294="",D294=""),"",IF(Parámetros!$B$6="Calendario",D294-C294+1,NETWORKDAYS.INTL(C294,D294,Parámetros!$B$8,Parámetros!$D$12:$D$41)))</f>
        <v/>
      </c>
      <c r="F294" s="18" t="str">
        <f aca="false">IF(D294="","",IF(Parámetros!$B$6="Calendario",D294+1,WORKDAY.INTL(D294,1,Parámetros!$B$8,Parámetros!$D$12:$D$41)))</f>
        <v/>
      </c>
      <c r="G294" s="12"/>
      <c r="H294" s="6"/>
      <c r="I294" s="12"/>
      <c r="J294" s="6"/>
      <c r="K294" s="12"/>
    </row>
    <row r="295" customFormat="false" ht="15" hidden="false" customHeight="false" outlineLevel="0" collapsed="false">
      <c r="A295" s="6"/>
      <c r="B295" s="24" t="str">
        <f aca="false">IF(A295="","",IFERROR(INDEX(Empleados!$B$5:$B$64,MATCH(A295,Empleados!$A$5:$A$64,0)),"ID no encontrado"))</f>
        <v/>
      </c>
      <c r="C295" s="13"/>
      <c r="D295" s="13"/>
      <c r="E295" s="22" t="str">
        <f aca="false">IF(OR(C295="",D295=""),"",IF(Parámetros!$B$6="Calendario",D295-C295+1,NETWORKDAYS.INTL(C295,D295,Parámetros!$B$8,Parámetros!$D$12:$D$41)))</f>
        <v/>
      </c>
      <c r="F295" s="18" t="str">
        <f aca="false">IF(D295="","",IF(Parámetros!$B$6="Calendario",D295+1,WORKDAY.INTL(D295,1,Parámetros!$B$8,Parámetros!$D$12:$D$41)))</f>
        <v/>
      </c>
      <c r="G295" s="12"/>
      <c r="H295" s="6"/>
      <c r="I295" s="12"/>
      <c r="J295" s="6"/>
      <c r="K295" s="12"/>
    </row>
    <row r="296" customFormat="false" ht="15" hidden="false" customHeight="false" outlineLevel="0" collapsed="false">
      <c r="A296" s="6"/>
      <c r="B296" s="24" t="str">
        <f aca="false">IF(A296="","",IFERROR(INDEX(Empleados!$B$5:$B$64,MATCH(A296,Empleados!$A$5:$A$64,0)),"ID no encontrado"))</f>
        <v/>
      </c>
      <c r="C296" s="13"/>
      <c r="D296" s="13"/>
      <c r="E296" s="22" t="str">
        <f aca="false">IF(OR(C296="",D296=""),"",IF(Parámetros!$B$6="Calendario",D296-C296+1,NETWORKDAYS.INTL(C296,D296,Parámetros!$B$8,Parámetros!$D$12:$D$41)))</f>
        <v/>
      </c>
      <c r="F296" s="18" t="str">
        <f aca="false">IF(D296="","",IF(Parámetros!$B$6="Calendario",D296+1,WORKDAY.INTL(D296,1,Parámetros!$B$8,Parámetros!$D$12:$D$41)))</f>
        <v/>
      </c>
      <c r="G296" s="12"/>
      <c r="H296" s="6"/>
      <c r="I296" s="12"/>
      <c r="J296" s="6"/>
      <c r="K296" s="12"/>
    </row>
    <row r="297" customFormat="false" ht="15" hidden="false" customHeight="false" outlineLevel="0" collapsed="false">
      <c r="A297" s="6"/>
      <c r="B297" s="24" t="str">
        <f aca="false">IF(A297="","",IFERROR(INDEX(Empleados!$B$5:$B$64,MATCH(A297,Empleados!$A$5:$A$64,0)),"ID no encontrado"))</f>
        <v/>
      </c>
      <c r="C297" s="13"/>
      <c r="D297" s="13"/>
      <c r="E297" s="22" t="str">
        <f aca="false">IF(OR(C297="",D297=""),"",IF(Parámetros!$B$6="Calendario",D297-C297+1,NETWORKDAYS.INTL(C297,D297,Parámetros!$B$8,Parámetros!$D$12:$D$41)))</f>
        <v/>
      </c>
      <c r="F297" s="18" t="str">
        <f aca="false">IF(D297="","",IF(Parámetros!$B$6="Calendario",D297+1,WORKDAY.INTL(D297,1,Parámetros!$B$8,Parámetros!$D$12:$D$41)))</f>
        <v/>
      </c>
      <c r="G297" s="12"/>
      <c r="H297" s="6"/>
      <c r="I297" s="12"/>
      <c r="J297" s="6"/>
      <c r="K297" s="12"/>
    </row>
    <row r="298" customFormat="false" ht="15" hidden="false" customHeight="false" outlineLevel="0" collapsed="false">
      <c r="A298" s="6"/>
      <c r="B298" s="24" t="str">
        <f aca="false">IF(A298="","",IFERROR(INDEX(Empleados!$B$5:$B$64,MATCH(A298,Empleados!$A$5:$A$64,0)),"ID no encontrado"))</f>
        <v/>
      </c>
      <c r="C298" s="13"/>
      <c r="D298" s="13"/>
      <c r="E298" s="22" t="str">
        <f aca="false">IF(OR(C298="",D298=""),"",IF(Parámetros!$B$6="Calendario",D298-C298+1,NETWORKDAYS.INTL(C298,D298,Parámetros!$B$8,Parámetros!$D$12:$D$41)))</f>
        <v/>
      </c>
      <c r="F298" s="18" t="str">
        <f aca="false">IF(D298="","",IF(Parámetros!$B$6="Calendario",D298+1,WORKDAY.INTL(D298,1,Parámetros!$B$8,Parámetros!$D$12:$D$41)))</f>
        <v/>
      </c>
      <c r="G298" s="12"/>
      <c r="H298" s="6"/>
      <c r="I298" s="12"/>
      <c r="J298" s="6"/>
      <c r="K298" s="12"/>
    </row>
    <row r="299" customFormat="false" ht="15" hidden="false" customHeight="false" outlineLevel="0" collapsed="false">
      <c r="A299" s="6"/>
      <c r="B299" s="24" t="str">
        <f aca="false">IF(A299="","",IFERROR(INDEX(Empleados!$B$5:$B$64,MATCH(A299,Empleados!$A$5:$A$64,0)),"ID no encontrado"))</f>
        <v/>
      </c>
      <c r="C299" s="13"/>
      <c r="D299" s="13"/>
      <c r="E299" s="22" t="str">
        <f aca="false">IF(OR(C299="",D299=""),"",IF(Parámetros!$B$6="Calendario",D299-C299+1,NETWORKDAYS.INTL(C299,D299,Parámetros!$B$8,Parámetros!$D$12:$D$41)))</f>
        <v/>
      </c>
      <c r="F299" s="18" t="str">
        <f aca="false">IF(D299="","",IF(Parámetros!$B$6="Calendario",D299+1,WORKDAY.INTL(D299,1,Parámetros!$B$8,Parámetros!$D$12:$D$41)))</f>
        <v/>
      </c>
      <c r="G299" s="12"/>
      <c r="H299" s="6"/>
      <c r="I299" s="12"/>
      <c r="J299" s="6"/>
      <c r="K299" s="12"/>
    </row>
    <row r="300" customFormat="false" ht="15" hidden="false" customHeight="false" outlineLevel="0" collapsed="false">
      <c r="A300" s="6"/>
      <c r="B300" s="24" t="str">
        <f aca="false">IF(A300="","",IFERROR(INDEX(Empleados!$B$5:$B$64,MATCH(A300,Empleados!$A$5:$A$64,0)),"ID no encontrado"))</f>
        <v/>
      </c>
      <c r="C300" s="13"/>
      <c r="D300" s="13"/>
      <c r="E300" s="22" t="str">
        <f aca="false">IF(OR(C300="",D300=""),"",IF(Parámetros!$B$6="Calendario",D300-C300+1,NETWORKDAYS.INTL(C300,D300,Parámetros!$B$8,Parámetros!$D$12:$D$41)))</f>
        <v/>
      </c>
      <c r="F300" s="18" t="str">
        <f aca="false">IF(D300="","",IF(Parámetros!$B$6="Calendario",D300+1,WORKDAY.INTL(D300,1,Parámetros!$B$8,Parámetros!$D$12:$D$41)))</f>
        <v/>
      </c>
      <c r="G300" s="12"/>
      <c r="H300" s="6"/>
      <c r="I300" s="12"/>
      <c r="J300" s="6"/>
      <c r="K300" s="12"/>
    </row>
    <row r="301" customFormat="false" ht="15" hidden="false" customHeight="false" outlineLevel="0" collapsed="false">
      <c r="A301" s="6"/>
      <c r="B301" s="24" t="str">
        <f aca="false">IF(A301="","",IFERROR(INDEX(Empleados!$B$5:$B$64,MATCH(A301,Empleados!$A$5:$A$64,0)),"ID no encontrado"))</f>
        <v/>
      </c>
      <c r="C301" s="13"/>
      <c r="D301" s="13"/>
      <c r="E301" s="22" t="str">
        <f aca="false">IF(OR(C301="",D301=""),"",IF(Parámetros!$B$6="Calendario",D301-C301+1,NETWORKDAYS.INTL(C301,D301,Parámetros!$B$8,Parámetros!$D$12:$D$41)))</f>
        <v/>
      </c>
      <c r="F301" s="18" t="str">
        <f aca="false">IF(D301="","",IF(Parámetros!$B$6="Calendario",D301+1,WORKDAY.INTL(D301,1,Parámetros!$B$8,Parámetros!$D$12:$D$41)))</f>
        <v/>
      </c>
      <c r="G301" s="12"/>
      <c r="H301" s="6"/>
      <c r="I301" s="12"/>
      <c r="J301" s="6"/>
      <c r="K301" s="12"/>
    </row>
    <row r="302" customFormat="false" ht="15" hidden="false" customHeight="false" outlineLevel="0" collapsed="false">
      <c r="A302" s="6"/>
      <c r="B302" s="24" t="str">
        <f aca="false">IF(A302="","",IFERROR(INDEX(Empleados!$B$5:$B$64,MATCH(A302,Empleados!$A$5:$A$64,0)),"ID no encontrado"))</f>
        <v/>
      </c>
      <c r="C302" s="13"/>
      <c r="D302" s="13"/>
      <c r="E302" s="22" t="str">
        <f aca="false">IF(OR(C302="",D302=""),"",IF(Parámetros!$B$6="Calendario",D302-C302+1,NETWORKDAYS.INTL(C302,D302,Parámetros!$B$8,Parámetros!$D$12:$D$41)))</f>
        <v/>
      </c>
      <c r="F302" s="18" t="str">
        <f aca="false">IF(D302="","",IF(Parámetros!$B$6="Calendario",D302+1,WORKDAY.INTL(D302,1,Parámetros!$B$8,Parámetros!$D$12:$D$41)))</f>
        <v/>
      </c>
      <c r="G302" s="12"/>
      <c r="H302" s="6"/>
      <c r="I302" s="12"/>
      <c r="J302" s="6"/>
      <c r="K302" s="12"/>
    </row>
    <row r="303" customFormat="false" ht="15" hidden="false" customHeight="false" outlineLevel="0" collapsed="false">
      <c r="A303" s="6"/>
      <c r="B303" s="24" t="str">
        <f aca="false">IF(A303="","",IFERROR(INDEX(Empleados!$B$5:$B$64,MATCH(A303,Empleados!$A$5:$A$64,0)),"ID no encontrado"))</f>
        <v/>
      </c>
      <c r="C303" s="13"/>
      <c r="D303" s="13"/>
      <c r="E303" s="22" t="str">
        <f aca="false">IF(OR(C303="",D303=""),"",IF(Parámetros!$B$6="Calendario",D303-C303+1,NETWORKDAYS.INTL(C303,D303,Parámetros!$B$8,Parámetros!$D$12:$D$41)))</f>
        <v/>
      </c>
      <c r="F303" s="18" t="str">
        <f aca="false">IF(D303="","",IF(Parámetros!$B$6="Calendario",D303+1,WORKDAY.INTL(D303,1,Parámetros!$B$8,Parámetros!$D$12:$D$41)))</f>
        <v/>
      </c>
      <c r="G303" s="12"/>
      <c r="H303" s="6"/>
      <c r="I303" s="12"/>
      <c r="J303" s="6"/>
      <c r="K303" s="12"/>
    </row>
    <row r="304" customFormat="false" ht="15" hidden="false" customHeight="false" outlineLevel="0" collapsed="false">
      <c r="A304" s="6"/>
      <c r="B304" s="24" t="str">
        <f aca="false">IF(A304="","",IFERROR(INDEX(Empleados!$B$5:$B$64,MATCH(A304,Empleados!$A$5:$A$64,0)),"ID no encontrado"))</f>
        <v/>
      </c>
      <c r="C304" s="13"/>
      <c r="D304" s="13"/>
      <c r="E304" s="22" t="str">
        <f aca="false">IF(OR(C304="",D304=""),"",IF(Parámetros!$B$6="Calendario",D304-C304+1,NETWORKDAYS.INTL(C304,D304,Parámetros!$B$8,Parámetros!$D$12:$D$41)))</f>
        <v/>
      </c>
      <c r="F304" s="18" t="str">
        <f aca="false">IF(D304="","",IF(Parámetros!$B$6="Calendario",D304+1,WORKDAY.INTL(D304,1,Parámetros!$B$8,Parámetros!$D$12:$D$41)))</f>
        <v/>
      </c>
      <c r="G304" s="12"/>
      <c r="H304" s="6"/>
      <c r="I304" s="12"/>
      <c r="J304" s="6"/>
      <c r="K304" s="12"/>
    </row>
    <row r="305" customFormat="false" ht="15" hidden="false" customHeight="false" outlineLevel="0" collapsed="false">
      <c r="A305" s="6"/>
      <c r="B305" s="24" t="str">
        <f aca="false">IF(A305="","",IFERROR(INDEX(Empleados!$B$5:$B$64,MATCH(A305,Empleados!$A$5:$A$64,0)),"ID no encontrado"))</f>
        <v/>
      </c>
      <c r="C305" s="13"/>
      <c r="D305" s="13"/>
      <c r="E305" s="22" t="str">
        <f aca="false">IF(OR(C305="",D305=""),"",IF(Parámetros!$B$6="Calendario",D305-C305+1,NETWORKDAYS.INTL(C305,D305,Parámetros!$B$8,Parámetros!$D$12:$D$41)))</f>
        <v/>
      </c>
      <c r="F305" s="18" t="str">
        <f aca="false">IF(D305="","",IF(Parámetros!$B$6="Calendario",D305+1,WORKDAY.INTL(D305,1,Parámetros!$B$8,Parámetros!$D$12:$D$41)))</f>
        <v/>
      </c>
      <c r="G305" s="12"/>
      <c r="H305" s="6"/>
      <c r="I305" s="12"/>
      <c r="J305" s="6"/>
      <c r="K305" s="12"/>
    </row>
    <row r="306" customFormat="false" ht="15" hidden="false" customHeight="false" outlineLevel="0" collapsed="false">
      <c r="A306" s="6"/>
      <c r="B306" s="24" t="str">
        <f aca="false">IF(A306="","",IFERROR(INDEX(Empleados!$B$5:$B$64,MATCH(A306,Empleados!$A$5:$A$64,0)),"ID no encontrado"))</f>
        <v/>
      </c>
      <c r="C306" s="13"/>
      <c r="D306" s="13"/>
      <c r="E306" s="22" t="str">
        <f aca="false">IF(OR(C306="",D306=""),"",IF(Parámetros!$B$6="Calendario",D306-C306+1,NETWORKDAYS.INTL(C306,D306,Parámetros!$B$8,Parámetros!$D$12:$D$41)))</f>
        <v/>
      </c>
      <c r="F306" s="18" t="str">
        <f aca="false">IF(D306="","",IF(Parámetros!$B$6="Calendario",D306+1,WORKDAY.INTL(D306,1,Parámetros!$B$8,Parámetros!$D$12:$D$41)))</f>
        <v/>
      </c>
      <c r="G306" s="12"/>
      <c r="H306" s="6"/>
      <c r="I306" s="12"/>
      <c r="J306" s="6"/>
      <c r="K306" s="12"/>
    </row>
    <row r="307" customFormat="false" ht="15" hidden="false" customHeight="false" outlineLevel="0" collapsed="false">
      <c r="A307" s="6"/>
      <c r="B307" s="24" t="str">
        <f aca="false">IF(A307="","",IFERROR(INDEX(Empleados!$B$5:$B$64,MATCH(A307,Empleados!$A$5:$A$64,0)),"ID no encontrado"))</f>
        <v/>
      </c>
      <c r="C307" s="13"/>
      <c r="D307" s="13"/>
      <c r="E307" s="22" t="str">
        <f aca="false">IF(OR(C307="",D307=""),"",IF(Parámetros!$B$6="Calendario",D307-C307+1,NETWORKDAYS.INTL(C307,D307,Parámetros!$B$8,Parámetros!$D$12:$D$41)))</f>
        <v/>
      </c>
      <c r="F307" s="18" t="str">
        <f aca="false">IF(D307="","",IF(Parámetros!$B$6="Calendario",D307+1,WORKDAY.INTL(D307,1,Parámetros!$B$8,Parámetros!$D$12:$D$41)))</f>
        <v/>
      </c>
      <c r="G307" s="12"/>
      <c r="H307" s="6"/>
      <c r="I307" s="12"/>
      <c r="J307" s="6"/>
      <c r="K307" s="12"/>
    </row>
    <row r="308" customFormat="false" ht="15" hidden="false" customHeight="false" outlineLevel="0" collapsed="false">
      <c r="A308" s="6"/>
      <c r="B308" s="24" t="str">
        <f aca="false">IF(A308="","",IFERROR(INDEX(Empleados!$B$5:$B$64,MATCH(A308,Empleados!$A$5:$A$64,0)),"ID no encontrado"))</f>
        <v/>
      </c>
      <c r="C308" s="13"/>
      <c r="D308" s="13"/>
      <c r="E308" s="22" t="str">
        <f aca="false">IF(OR(C308="",D308=""),"",IF(Parámetros!$B$6="Calendario",D308-C308+1,NETWORKDAYS.INTL(C308,D308,Parámetros!$B$8,Parámetros!$D$12:$D$41)))</f>
        <v/>
      </c>
      <c r="F308" s="18" t="str">
        <f aca="false">IF(D308="","",IF(Parámetros!$B$6="Calendario",D308+1,WORKDAY.INTL(D308,1,Parámetros!$B$8,Parámetros!$D$12:$D$41)))</f>
        <v/>
      </c>
      <c r="G308" s="12"/>
      <c r="H308" s="6"/>
      <c r="I308" s="12"/>
      <c r="J308" s="6"/>
      <c r="K308" s="12"/>
    </row>
    <row r="309" customFormat="false" ht="15" hidden="false" customHeight="false" outlineLevel="0" collapsed="false">
      <c r="A309" s="6"/>
      <c r="B309" s="24" t="str">
        <f aca="false">IF(A309="","",IFERROR(INDEX(Empleados!$B$5:$B$64,MATCH(A309,Empleados!$A$5:$A$64,0)),"ID no encontrado"))</f>
        <v/>
      </c>
      <c r="C309" s="13"/>
      <c r="D309" s="13"/>
      <c r="E309" s="22" t="str">
        <f aca="false">IF(OR(C309="",D309=""),"",IF(Parámetros!$B$6="Calendario",D309-C309+1,NETWORKDAYS.INTL(C309,D309,Parámetros!$B$8,Parámetros!$D$12:$D$41)))</f>
        <v/>
      </c>
      <c r="F309" s="18" t="str">
        <f aca="false">IF(D309="","",IF(Parámetros!$B$6="Calendario",D309+1,WORKDAY.INTL(D309,1,Parámetros!$B$8,Parámetros!$D$12:$D$41)))</f>
        <v/>
      </c>
      <c r="G309" s="12"/>
      <c r="H309" s="6"/>
      <c r="I309" s="12"/>
      <c r="J309" s="6"/>
      <c r="K309" s="12"/>
    </row>
    <row r="310" customFormat="false" ht="15" hidden="false" customHeight="false" outlineLevel="0" collapsed="false">
      <c r="A310" s="6"/>
      <c r="B310" s="24" t="str">
        <f aca="false">IF(A310="","",IFERROR(INDEX(Empleados!$B$5:$B$64,MATCH(A310,Empleados!$A$5:$A$64,0)),"ID no encontrado"))</f>
        <v/>
      </c>
      <c r="C310" s="13"/>
      <c r="D310" s="13"/>
      <c r="E310" s="22" t="str">
        <f aca="false">IF(OR(C310="",D310=""),"",IF(Parámetros!$B$6="Calendario",D310-C310+1,NETWORKDAYS.INTL(C310,D310,Parámetros!$B$8,Parámetros!$D$12:$D$41)))</f>
        <v/>
      </c>
      <c r="F310" s="18" t="str">
        <f aca="false">IF(D310="","",IF(Parámetros!$B$6="Calendario",D310+1,WORKDAY.INTL(D310,1,Parámetros!$B$8,Parámetros!$D$12:$D$41)))</f>
        <v/>
      </c>
      <c r="G310" s="12"/>
      <c r="H310" s="6"/>
      <c r="I310" s="12"/>
      <c r="J310" s="6"/>
      <c r="K310" s="12"/>
    </row>
    <row r="311" customFormat="false" ht="15" hidden="false" customHeight="false" outlineLevel="0" collapsed="false">
      <c r="A311" s="6"/>
      <c r="B311" s="24" t="str">
        <f aca="false">IF(A311="","",IFERROR(INDEX(Empleados!$B$5:$B$64,MATCH(A311,Empleados!$A$5:$A$64,0)),"ID no encontrado"))</f>
        <v/>
      </c>
      <c r="C311" s="13"/>
      <c r="D311" s="13"/>
      <c r="E311" s="22" t="str">
        <f aca="false">IF(OR(C311="",D311=""),"",IF(Parámetros!$B$6="Calendario",D311-C311+1,NETWORKDAYS.INTL(C311,D311,Parámetros!$B$8,Parámetros!$D$12:$D$41)))</f>
        <v/>
      </c>
      <c r="F311" s="18" t="str">
        <f aca="false">IF(D311="","",IF(Parámetros!$B$6="Calendario",D311+1,WORKDAY.INTL(D311,1,Parámetros!$B$8,Parámetros!$D$12:$D$41)))</f>
        <v/>
      </c>
      <c r="G311" s="12"/>
      <c r="H311" s="6"/>
      <c r="I311" s="12"/>
      <c r="J311" s="6"/>
      <c r="K311" s="12"/>
    </row>
    <row r="312" customFormat="false" ht="15" hidden="false" customHeight="false" outlineLevel="0" collapsed="false">
      <c r="A312" s="6"/>
      <c r="B312" s="24" t="str">
        <f aca="false">IF(A312="","",IFERROR(INDEX(Empleados!$B$5:$B$64,MATCH(A312,Empleados!$A$5:$A$64,0)),"ID no encontrado"))</f>
        <v/>
      </c>
      <c r="C312" s="13"/>
      <c r="D312" s="13"/>
      <c r="E312" s="22" t="str">
        <f aca="false">IF(OR(C312="",D312=""),"",IF(Parámetros!$B$6="Calendario",D312-C312+1,NETWORKDAYS.INTL(C312,D312,Parámetros!$B$8,Parámetros!$D$12:$D$41)))</f>
        <v/>
      </c>
      <c r="F312" s="18" t="str">
        <f aca="false">IF(D312="","",IF(Parámetros!$B$6="Calendario",D312+1,WORKDAY.INTL(D312,1,Parámetros!$B$8,Parámetros!$D$12:$D$41)))</f>
        <v/>
      </c>
      <c r="G312" s="12"/>
      <c r="H312" s="6"/>
      <c r="I312" s="12"/>
      <c r="J312" s="6"/>
      <c r="K312" s="12"/>
    </row>
    <row r="313" customFormat="false" ht="15" hidden="false" customHeight="false" outlineLevel="0" collapsed="false">
      <c r="A313" s="6"/>
      <c r="B313" s="24" t="str">
        <f aca="false">IF(A313="","",IFERROR(INDEX(Empleados!$B$5:$B$64,MATCH(A313,Empleados!$A$5:$A$64,0)),"ID no encontrado"))</f>
        <v/>
      </c>
      <c r="C313" s="13"/>
      <c r="D313" s="13"/>
      <c r="E313" s="22" t="str">
        <f aca="false">IF(OR(C313="",D313=""),"",IF(Parámetros!$B$6="Calendario",D313-C313+1,NETWORKDAYS.INTL(C313,D313,Parámetros!$B$8,Parámetros!$D$12:$D$41)))</f>
        <v/>
      </c>
      <c r="F313" s="18" t="str">
        <f aca="false">IF(D313="","",IF(Parámetros!$B$6="Calendario",D313+1,WORKDAY.INTL(D313,1,Parámetros!$B$8,Parámetros!$D$12:$D$41)))</f>
        <v/>
      </c>
      <c r="G313" s="12"/>
      <c r="H313" s="6"/>
      <c r="I313" s="12"/>
      <c r="J313" s="6"/>
      <c r="K313" s="12"/>
    </row>
    <row r="314" customFormat="false" ht="15" hidden="false" customHeight="false" outlineLevel="0" collapsed="false">
      <c r="A314" s="6"/>
      <c r="B314" s="24" t="str">
        <f aca="false">IF(A314="","",IFERROR(INDEX(Empleados!$B$5:$B$64,MATCH(A314,Empleados!$A$5:$A$64,0)),"ID no encontrado"))</f>
        <v/>
      </c>
      <c r="C314" s="13"/>
      <c r="D314" s="13"/>
      <c r="E314" s="22" t="str">
        <f aca="false">IF(OR(C314="",D314=""),"",IF(Parámetros!$B$6="Calendario",D314-C314+1,NETWORKDAYS.INTL(C314,D314,Parámetros!$B$8,Parámetros!$D$12:$D$41)))</f>
        <v/>
      </c>
      <c r="F314" s="18" t="str">
        <f aca="false">IF(D314="","",IF(Parámetros!$B$6="Calendario",D314+1,WORKDAY.INTL(D314,1,Parámetros!$B$8,Parámetros!$D$12:$D$41)))</f>
        <v/>
      </c>
      <c r="G314" s="12"/>
      <c r="H314" s="6"/>
      <c r="I314" s="12"/>
      <c r="J314" s="6"/>
      <c r="K314" s="12"/>
    </row>
    <row r="315" customFormat="false" ht="15" hidden="false" customHeight="false" outlineLevel="0" collapsed="false">
      <c r="A315" s="6"/>
      <c r="B315" s="24" t="str">
        <f aca="false">IF(A315="","",IFERROR(INDEX(Empleados!$B$5:$B$64,MATCH(A315,Empleados!$A$5:$A$64,0)),"ID no encontrado"))</f>
        <v/>
      </c>
      <c r="C315" s="13"/>
      <c r="D315" s="13"/>
      <c r="E315" s="22" t="str">
        <f aca="false">IF(OR(C315="",D315=""),"",IF(Parámetros!$B$6="Calendario",D315-C315+1,NETWORKDAYS.INTL(C315,D315,Parámetros!$B$8,Parámetros!$D$12:$D$41)))</f>
        <v/>
      </c>
      <c r="F315" s="18" t="str">
        <f aca="false">IF(D315="","",IF(Parámetros!$B$6="Calendario",D315+1,WORKDAY.INTL(D315,1,Parámetros!$B$8,Parámetros!$D$12:$D$41)))</f>
        <v/>
      </c>
      <c r="G315" s="12"/>
      <c r="H315" s="6"/>
      <c r="I315" s="12"/>
      <c r="J315" s="6"/>
      <c r="K315" s="12"/>
    </row>
    <row r="316" customFormat="false" ht="15" hidden="false" customHeight="false" outlineLevel="0" collapsed="false">
      <c r="A316" s="6"/>
      <c r="B316" s="24" t="str">
        <f aca="false">IF(A316="","",IFERROR(INDEX(Empleados!$B$5:$B$64,MATCH(A316,Empleados!$A$5:$A$64,0)),"ID no encontrado"))</f>
        <v/>
      </c>
      <c r="C316" s="13"/>
      <c r="D316" s="13"/>
      <c r="E316" s="22" t="str">
        <f aca="false">IF(OR(C316="",D316=""),"",IF(Parámetros!$B$6="Calendario",D316-C316+1,NETWORKDAYS.INTL(C316,D316,Parámetros!$B$8,Parámetros!$D$12:$D$41)))</f>
        <v/>
      </c>
      <c r="F316" s="18" t="str">
        <f aca="false">IF(D316="","",IF(Parámetros!$B$6="Calendario",D316+1,WORKDAY.INTL(D316,1,Parámetros!$B$8,Parámetros!$D$12:$D$41)))</f>
        <v/>
      </c>
      <c r="G316" s="12"/>
      <c r="H316" s="6"/>
      <c r="I316" s="12"/>
      <c r="J316" s="6"/>
      <c r="K316" s="12"/>
    </row>
    <row r="317" customFormat="false" ht="15" hidden="false" customHeight="false" outlineLevel="0" collapsed="false">
      <c r="A317" s="6"/>
      <c r="B317" s="24" t="str">
        <f aca="false">IF(A317="","",IFERROR(INDEX(Empleados!$B$5:$B$64,MATCH(A317,Empleados!$A$5:$A$64,0)),"ID no encontrado"))</f>
        <v/>
      </c>
      <c r="C317" s="13"/>
      <c r="D317" s="13"/>
      <c r="E317" s="22" t="str">
        <f aca="false">IF(OR(C317="",D317=""),"",IF(Parámetros!$B$6="Calendario",D317-C317+1,NETWORKDAYS.INTL(C317,D317,Parámetros!$B$8,Parámetros!$D$12:$D$41)))</f>
        <v/>
      </c>
      <c r="F317" s="18" t="str">
        <f aca="false">IF(D317="","",IF(Parámetros!$B$6="Calendario",D317+1,WORKDAY.INTL(D317,1,Parámetros!$B$8,Parámetros!$D$12:$D$41)))</f>
        <v/>
      </c>
      <c r="G317" s="12"/>
      <c r="H317" s="6"/>
      <c r="I317" s="12"/>
      <c r="J317" s="6"/>
      <c r="K317" s="12"/>
    </row>
    <row r="318" customFormat="false" ht="15" hidden="false" customHeight="false" outlineLevel="0" collapsed="false">
      <c r="A318" s="6"/>
      <c r="B318" s="24" t="str">
        <f aca="false">IF(A318="","",IFERROR(INDEX(Empleados!$B$5:$B$64,MATCH(A318,Empleados!$A$5:$A$64,0)),"ID no encontrado"))</f>
        <v/>
      </c>
      <c r="C318" s="13"/>
      <c r="D318" s="13"/>
      <c r="E318" s="22" t="str">
        <f aca="false">IF(OR(C318="",D318=""),"",IF(Parámetros!$B$6="Calendario",D318-C318+1,NETWORKDAYS.INTL(C318,D318,Parámetros!$B$8,Parámetros!$D$12:$D$41)))</f>
        <v/>
      </c>
      <c r="F318" s="18" t="str">
        <f aca="false">IF(D318="","",IF(Parámetros!$B$6="Calendario",D318+1,WORKDAY.INTL(D318,1,Parámetros!$B$8,Parámetros!$D$12:$D$41)))</f>
        <v/>
      </c>
      <c r="G318" s="12"/>
      <c r="H318" s="6"/>
      <c r="I318" s="12"/>
      <c r="J318" s="6"/>
      <c r="K318" s="12"/>
    </row>
    <row r="319" customFormat="false" ht="15" hidden="false" customHeight="false" outlineLevel="0" collapsed="false">
      <c r="A319" s="6"/>
      <c r="B319" s="24" t="str">
        <f aca="false">IF(A319="","",IFERROR(INDEX(Empleados!$B$5:$B$64,MATCH(A319,Empleados!$A$5:$A$64,0)),"ID no encontrado"))</f>
        <v/>
      </c>
      <c r="C319" s="13"/>
      <c r="D319" s="13"/>
      <c r="E319" s="22" t="str">
        <f aca="false">IF(OR(C319="",D319=""),"",IF(Parámetros!$B$6="Calendario",D319-C319+1,NETWORKDAYS.INTL(C319,D319,Parámetros!$B$8,Parámetros!$D$12:$D$41)))</f>
        <v/>
      </c>
      <c r="F319" s="18" t="str">
        <f aca="false">IF(D319="","",IF(Parámetros!$B$6="Calendario",D319+1,WORKDAY.INTL(D319,1,Parámetros!$B$8,Parámetros!$D$12:$D$41)))</f>
        <v/>
      </c>
      <c r="G319" s="12"/>
      <c r="H319" s="6"/>
      <c r="I319" s="12"/>
      <c r="J319" s="6"/>
      <c r="K319" s="12"/>
    </row>
    <row r="320" customFormat="false" ht="15" hidden="false" customHeight="false" outlineLevel="0" collapsed="false">
      <c r="A320" s="6"/>
      <c r="B320" s="24" t="str">
        <f aca="false">IF(A320="","",IFERROR(INDEX(Empleados!$B$5:$B$64,MATCH(A320,Empleados!$A$5:$A$64,0)),"ID no encontrado"))</f>
        <v/>
      </c>
      <c r="C320" s="13"/>
      <c r="D320" s="13"/>
      <c r="E320" s="22" t="str">
        <f aca="false">IF(OR(C320="",D320=""),"",IF(Parámetros!$B$6="Calendario",D320-C320+1,NETWORKDAYS.INTL(C320,D320,Parámetros!$B$8,Parámetros!$D$12:$D$41)))</f>
        <v/>
      </c>
      <c r="F320" s="18" t="str">
        <f aca="false">IF(D320="","",IF(Parámetros!$B$6="Calendario",D320+1,WORKDAY.INTL(D320,1,Parámetros!$B$8,Parámetros!$D$12:$D$41)))</f>
        <v/>
      </c>
      <c r="G320" s="12"/>
      <c r="H320" s="6"/>
      <c r="I320" s="12"/>
      <c r="J320" s="6"/>
      <c r="K320" s="12"/>
    </row>
    <row r="321" customFormat="false" ht="15" hidden="false" customHeight="false" outlineLevel="0" collapsed="false">
      <c r="A321" s="6"/>
      <c r="B321" s="24" t="str">
        <f aca="false">IF(A321="","",IFERROR(INDEX(Empleados!$B$5:$B$64,MATCH(A321,Empleados!$A$5:$A$64,0)),"ID no encontrado"))</f>
        <v/>
      </c>
      <c r="C321" s="13"/>
      <c r="D321" s="13"/>
      <c r="E321" s="22" t="str">
        <f aca="false">IF(OR(C321="",D321=""),"",IF(Parámetros!$B$6="Calendario",D321-C321+1,NETWORKDAYS.INTL(C321,D321,Parámetros!$B$8,Parámetros!$D$12:$D$41)))</f>
        <v/>
      </c>
      <c r="F321" s="18" t="str">
        <f aca="false">IF(D321="","",IF(Parámetros!$B$6="Calendario",D321+1,WORKDAY.INTL(D321,1,Parámetros!$B$8,Parámetros!$D$12:$D$41)))</f>
        <v/>
      </c>
      <c r="G321" s="12"/>
      <c r="H321" s="6"/>
      <c r="I321" s="12"/>
      <c r="J321" s="6"/>
      <c r="K321" s="12"/>
    </row>
    <row r="322" customFormat="false" ht="15" hidden="false" customHeight="false" outlineLevel="0" collapsed="false">
      <c r="A322" s="6"/>
      <c r="B322" s="24" t="str">
        <f aca="false">IF(A322="","",IFERROR(INDEX(Empleados!$B$5:$B$64,MATCH(A322,Empleados!$A$5:$A$64,0)),"ID no encontrado"))</f>
        <v/>
      </c>
      <c r="C322" s="13"/>
      <c r="D322" s="13"/>
      <c r="E322" s="22" t="str">
        <f aca="false">IF(OR(C322="",D322=""),"",IF(Parámetros!$B$6="Calendario",D322-C322+1,NETWORKDAYS.INTL(C322,D322,Parámetros!$B$8,Parámetros!$D$12:$D$41)))</f>
        <v/>
      </c>
      <c r="F322" s="18" t="str">
        <f aca="false">IF(D322="","",IF(Parámetros!$B$6="Calendario",D322+1,WORKDAY.INTL(D322,1,Parámetros!$B$8,Parámetros!$D$12:$D$41)))</f>
        <v/>
      </c>
      <c r="G322" s="12"/>
      <c r="H322" s="6"/>
      <c r="I322" s="12"/>
      <c r="J322" s="6"/>
      <c r="K322" s="12"/>
    </row>
    <row r="323" customFormat="false" ht="15" hidden="false" customHeight="false" outlineLevel="0" collapsed="false">
      <c r="A323" s="6"/>
      <c r="B323" s="24" t="str">
        <f aca="false">IF(A323="","",IFERROR(INDEX(Empleados!$B$5:$B$64,MATCH(A323,Empleados!$A$5:$A$64,0)),"ID no encontrado"))</f>
        <v/>
      </c>
      <c r="C323" s="13"/>
      <c r="D323" s="13"/>
      <c r="E323" s="22" t="str">
        <f aca="false">IF(OR(C323="",D323=""),"",IF(Parámetros!$B$6="Calendario",D323-C323+1,NETWORKDAYS.INTL(C323,D323,Parámetros!$B$8,Parámetros!$D$12:$D$41)))</f>
        <v/>
      </c>
      <c r="F323" s="18" t="str">
        <f aca="false">IF(D323="","",IF(Parámetros!$B$6="Calendario",D323+1,WORKDAY.INTL(D323,1,Parámetros!$B$8,Parámetros!$D$12:$D$41)))</f>
        <v/>
      </c>
      <c r="G323" s="12"/>
      <c r="H323" s="6"/>
      <c r="I323" s="12"/>
      <c r="J323" s="6"/>
      <c r="K323" s="12"/>
    </row>
    <row r="324" customFormat="false" ht="15" hidden="false" customHeight="false" outlineLevel="0" collapsed="false">
      <c r="A324" s="6"/>
      <c r="B324" s="24" t="str">
        <f aca="false">IF(A324="","",IFERROR(INDEX(Empleados!$B$5:$B$64,MATCH(A324,Empleados!$A$5:$A$64,0)),"ID no encontrado"))</f>
        <v/>
      </c>
      <c r="C324" s="13"/>
      <c r="D324" s="13"/>
      <c r="E324" s="22" t="str">
        <f aca="false">IF(OR(C324="",D324=""),"",IF(Parámetros!$B$6="Calendario",D324-C324+1,NETWORKDAYS.INTL(C324,D324,Parámetros!$B$8,Parámetros!$D$12:$D$41)))</f>
        <v/>
      </c>
      <c r="F324" s="18" t="str">
        <f aca="false">IF(D324="","",IF(Parámetros!$B$6="Calendario",D324+1,WORKDAY.INTL(D324,1,Parámetros!$B$8,Parámetros!$D$12:$D$41)))</f>
        <v/>
      </c>
      <c r="G324" s="12"/>
      <c r="H324" s="6"/>
      <c r="I324" s="12"/>
      <c r="J324" s="6"/>
      <c r="K324" s="12"/>
    </row>
    <row r="325" customFormat="false" ht="15" hidden="false" customHeight="false" outlineLevel="0" collapsed="false">
      <c r="A325" s="6"/>
      <c r="B325" s="24" t="str">
        <f aca="false">IF(A325="","",IFERROR(INDEX(Empleados!$B$5:$B$64,MATCH(A325,Empleados!$A$5:$A$64,0)),"ID no encontrado"))</f>
        <v/>
      </c>
      <c r="C325" s="13"/>
      <c r="D325" s="13"/>
      <c r="E325" s="22" t="str">
        <f aca="false">IF(OR(C325="",D325=""),"",IF(Parámetros!$B$6="Calendario",D325-C325+1,NETWORKDAYS.INTL(C325,D325,Parámetros!$B$8,Parámetros!$D$12:$D$41)))</f>
        <v/>
      </c>
      <c r="F325" s="18" t="str">
        <f aca="false">IF(D325="","",IF(Parámetros!$B$6="Calendario",D325+1,WORKDAY.INTL(D325,1,Parámetros!$B$8,Parámetros!$D$12:$D$41)))</f>
        <v/>
      </c>
      <c r="G325" s="12"/>
      <c r="H325" s="6"/>
      <c r="I325" s="12"/>
      <c r="J325" s="6"/>
      <c r="K325" s="12"/>
    </row>
    <row r="326" customFormat="false" ht="15" hidden="false" customHeight="false" outlineLevel="0" collapsed="false">
      <c r="A326" s="6"/>
      <c r="B326" s="24" t="str">
        <f aca="false">IF(A326="","",IFERROR(INDEX(Empleados!$B$5:$B$64,MATCH(A326,Empleados!$A$5:$A$64,0)),"ID no encontrado"))</f>
        <v/>
      </c>
      <c r="C326" s="13"/>
      <c r="D326" s="13"/>
      <c r="E326" s="22" t="str">
        <f aca="false">IF(OR(C326="",D326=""),"",IF(Parámetros!$B$6="Calendario",D326-C326+1,NETWORKDAYS.INTL(C326,D326,Parámetros!$B$8,Parámetros!$D$12:$D$41)))</f>
        <v/>
      </c>
      <c r="F326" s="18" t="str">
        <f aca="false">IF(D326="","",IF(Parámetros!$B$6="Calendario",D326+1,WORKDAY.INTL(D326,1,Parámetros!$B$8,Parámetros!$D$12:$D$41)))</f>
        <v/>
      </c>
      <c r="G326" s="12"/>
      <c r="H326" s="6"/>
      <c r="I326" s="12"/>
      <c r="J326" s="6"/>
      <c r="K326" s="12"/>
    </row>
    <row r="327" customFormat="false" ht="15" hidden="false" customHeight="false" outlineLevel="0" collapsed="false">
      <c r="A327" s="6"/>
      <c r="B327" s="24" t="str">
        <f aca="false">IF(A327="","",IFERROR(INDEX(Empleados!$B$5:$B$64,MATCH(A327,Empleados!$A$5:$A$64,0)),"ID no encontrado"))</f>
        <v/>
      </c>
      <c r="C327" s="13"/>
      <c r="D327" s="13"/>
      <c r="E327" s="22" t="str">
        <f aca="false">IF(OR(C327="",D327=""),"",IF(Parámetros!$B$6="Calendario",D327-C327+1,NETWORKDAYS.INTL(C327,D327,Parámetros!$B$8,Parámetros!$D$12:$D$41)))</f>
        <v/>
      </c>
      <c r="F327" s="18" t="str">
        <f aca="false">IF(D327="","",IF(Parámetros!$B$6="Calendario",D327+1,WORKDAY.INTL(D327,1,Parámetros!$B$8,Parámetros!$D$12:$D$41)))</f>
        <v/>
      </c>
      <c r="G327" s="12"/>
      <c r="H327" s="6"/>
      <c r="I327" s="12"/>
      <c r="J327" s="6"/>
      <c r="K327" s="12"/>
    </row>
    <row r="328" customFormat="false" ht="15" hidden="false" customHeight="false" outlineLevel="0" collapsed="false">
      <c r="A328" s="6"/>
      <c r="B328" s="24" t="str">
        <f aca="false">IF(A328="","",IFERROR(INDEX(Empleados!$B$5:$B$64,MATCH(A328,Empleados!$A$5:$A$64,0)),"ID no encontrado"))</f>
        <v/>
      </c>
      <c r="C328" s="13"/>
      <c r="D328" s="13"/>
      <c r="E328" s="22" t="str">
        <f aca="false">IF(OR(C328="",D328=""),"",IF(Parámetros!$B$6="Calendario",D328-C328+1,NETWORKDAYS.INTL(C328,D328,Parámetros!$B$8,Parámetros!$D$12:$D$41)))</f>
        <v/>
      </c>
      <c r="F328" s="18" t="str">
        <f aca="false">IF(D328="","",IF(Parámetros!$B$6="Calendario",D328+1,WORKDAY.INTL(D328,1,Parámetros!$B$8,Parámetros!$D$12:$D$41)))</f>
        <v/>
      </c>
      <c r="G328" s="12"/>
      <c r="H328" s="6"/>
      <c r="I328" s="12"/>
      <c r="J328" s="6"/>
      <c r="K328" s="12"/>
    </row>
    <row r="329" customFormat="false" ht="15" hidden="false" customHeight="false" outlineLevel="0" collapsed="false">
      <c r="A329" s="6"/>
      <c r="B329" s="24" t="str">
        <f aca="false">IF(A329="","",IFERROR(INDEX(Empleados!$B$5:$B$64,MATCH(A329,Empleados!$A$5:$A$64,0)),"ID no encontrado"))</f>
        <v/>
      </c>
      <c r="C329" s="13"/>
      <c r="D329" s="13"/>
      <c r="E329" s="22" t="str">
        <f aca="false">IF(OR(C329="",D329=""),"",IF(Parámetros!$B$6="Calendario",D329-C329+1,NETWORKDAYS.INTL(C329,D329,Parámetros!$B$8,Parámetros!$D$12:$D$41)))</f>
        <v/>
      </c>
      <c r="F329" s="18" t="str">
        <f aca="false">IF(D329="","",IF(Parámetros!$B$6="Calendario",D329+1,WORKDAY.INTL(D329,1,Parámetros!$B$8,Parámetros!$D$12:$D$41)))</f>
        <v/>
      </c>
      <c r="G329" s="12"/>
      <c r="H329" s="6"/>
      <c r="I329" s="12"/>
      <c r="J329" s="6"/>
      <c r="K329" s="12"/>
    </row>
    <row r="330" customFormat="false" ht="15" hidden="false" customHeight="false" outlineLevel="0" collapsed="false">
      <c r="A330" s="6"/>
      <c r="B330" s="24" t="str">
        <f aca="false">IF(A330="","",IFERROR(INDEX(Empleados!$B$5:$B$64,MATCH(A330,Empleados!$A$5:$A$64,0)),"ID no encontrado"))</f>
        <v/>
      </c>
      <c r="C330" s="13"/>
      <c r="D330" s="13"/>
      <c r="E330" s="22" t="str">
        <f aca="false">IF(OR(C330="",D330=""),"",IF(Parámetros!$B$6="Calendario",D330-C330+1,NETWORKDAYS.INTL(C330,D330,Parámetros!$B$8,Parámetros!$D$12:$D$41)))</f>
        <v/>
      </c>
      <c r="F330" s="18" t="str">
        <f aca="false">IF(D330="","",IF(Parámetros!$B$6="Calendario",D330+1,WORKDAY.INTL(D330,1,Parámetros!$B$8,Parámetros!$D$12:$D$41)))</f>
        <v/>
      </c>
      <c r="G330" s="12"/>
      <c r="H330" s="6"/>
      <c r="I330" s="12"/>
      <c r="J330" s="6"/>
      <c r="K330" s="12"/>
    </row>
    <row r="331" customFormat="false" ht="15" hidden="false" customHeight="false" outlineLevel="0" collapsed="false">
      <c r="A331" s="6"/>
      <c r="B331" s="24" t="str">
        <f aca="false">IF(A331="","",IFERROR(INDEX(Empleados!$B$5:$B$64,MATCH(A331,Empleados!$A$5:$A$64,0)),"ID no encontrado"))</f>
        <v/>
      </c>
      <c r="C331" s="13"/>
      <c r="D331" s="13"/>
      <c r="E331" s="22" t="str">
        <f aca="false">IF(OR(C331="",D331=""),"",IF(Parámetros!$B$6="Calendario",D331-C331+1,NETWORKDAYS.INTL(C331,D331,Parámetros!$B$8,Parámetros!$D$12:$D$41)))</f>
        <v/>
      </c>
      <c r="F331" s="18" t="str">
        <f aca="false">IF(D331="","",IF(Parámetros!$B$6="Calendario",D331+1,WORKDAY.INTL(D331,1,Parámetros!$B$8,Parámetros!$D$12:$D$41)))</f>
        <v/>
      </c>
      <c r="G331" s="12"/>
      <c r="H331" s="6"/>
      <c r="I331" s="12"/>
      <c r="J331" s="6"/>
      <c r="K331" s="12"/>
    </row>
    <row r="332" customFormat="false" ht="15" hidden="false" customHeight="false" outlineLevel="0" collapsed="false">
      <c r="A332" s="6"/>
      <c r="B332" s="24" t="str">
        <f aca="false">IF(A332="","",IFERROR(INDEX(Empleados!$B$5:$B$64,MATCH(A332,Empleados!$A$5:$A$64,0)),"ID no encontrado"))</f>
        <v/>
      </c>
      <c r="C332" s="13"/>
      <c r="D332" s="13"/>
      <c r="E332" s="22" t="str">
        <f aca="false">IF(OR(C332="",D332=""),"",IF(Parámetros!$B$6="Calendario",D332-C332+1,NETWORKDAYS.INTL(C332,D332,Parámetros!$B$8,Parámetros!$D$12:$D$41)))</f>
        <v/>
      </c>
      <c r="F332" s="18" t="str">
        <f aca="false">IF(D332="","",IF(Parámetros!$B$6="Calendario",D332+1,WORKDAY.INTL(D332,1,Parámetros!$B$8,Parámetros!$D$12:$D$41)))</f>
        <v/>
      </c>
      <c r="G332" s="12"/>
      <c r="H332" s="6"/>
      <c r="I332" s="12"/>
      <c r="J332" s="6"/>
      <c r="K332" s="12"/>
    </row>
    <row r="333" customFormat="false" ht="15" hidden="false" customHeight="false" outlineLevel="0" collapsed="false">
      <c r="A333" s="6"/>
      <c r="B333" s="24" t="str">
        <f aca="false">IF(A333="","",IFERROR(INDEX(Empleados!$B$5:$B$64,MATCH(A333,Empleados!$A$5:$A$64,0)),"ID no encontrado"))</f>
        <v/>
      </c>
      <c r="C333" s="13"/>
      <c r="D333" s="13"/>
      <c r="E333" s="22" t="str">
        <f aca="false">IF(OR(C333="",D333=""),"",IF(Parámetros!$B$6="Calendario",D333-C333+1,NETWORKDAYS.INTL(C333,D333,Parámetros!$B$8,Parámetros!$D$12:$D$41)))</f>
        <v/>
      </c>
      <c r="F333" s="18" t="str">
        <f aca="false">IF(D333="","",IF(Parámetros!$B$6="Calendario",D333+1,WORKDAY.INTL(D333,1,Parámetros!$B$8,Parámetros!$D$12:$D$41)))</f>
        <v/>
      </c>
      <c r="G333" s="12"/>
      <c r="H333" s="6"/>
      <c r="I333" s="12"/>
      <c r="J333" s="6"/>
      <c r="K333" s="12"/>
    </row>
    <row r="334" customFormat="false" ht="15" hidden="false" customHeight="false" outlineLevel="0" collapsed="false">
      <c r="A334" s="6"/>
      <c r="B334" s="24" t="str">
        <f aca="false">IF(A334="","",IFERROR(INDEX(Empleados!$B$5:$B$64,MATCH(A334,Empleados!$A$5:$A$64,0)),"ID no encontrado"))</f>
        <v/>
      </c>
      <c r="C334" s="13"/>
      <c r="D334" s="13"/>
      <c r="E334" s="22" t="str">
        <f aca="false">IF(OR(C334="",D334=""),"",IF(Parámetros!$B$6="Calendario",D334-C334+1,NETWORKDAYS.INTL(C334,D334,Parámetros!$B$8,Parámetros!$D$12:$D$41)))</f>
        <v/>
      </c>
      <c r="F334" s="18" t="str">
        <f aca="false">IF(D334="","",IF(Parámetros!$B$6="Calendario",D334+1,WORKDAY.INTL(D334,1,Parámetros!$B$8,Parámetros!$D$12:$D$41)))</f>
        <v/>
      </c>
      <c r="G334" s="12"/>
      <c r="H334" s="6"/>
      <c r="I334" s="12"/>
      <c r="J334" s="6"/>
      <c r="K334" s="12"/>
    </row>
    <row r="335" customFormat="false" ht="15" hidden="false" customHeight="false" outlineLevel="0" collapsed="false">
      <c r="A335" s="6"/>
      <c r="B335" s="24" t="str">
        <f aca="false">IF(A335="","",IFERROR(INDEX(Empleados!$B$5:$B$64,MATCH(A335,Empleados!$A$5:$A$64,0)),"ID no encontrado"))</f>
        <v/>
      </c>
      <c r="C335" s="13"/>
      <c r="D335" s="13"/>
      <c r="E335" s="22" t="str">
        <f aca="false">IF(OR(C335="",D335=""),"",IF(Parámetros!$B$6="Calendario",D335-C335+1,NETWORKDAYS.INTL(C335,D335,Parámetros!$B$8,Parámetros!$D$12:$D$41)))</f>
        <v/>
      </c>
      <c r="F335" s="18" t="str">
        <f aca="false">IF(D335="","",IF(Parámetros!$B$6="Calendario",D335+1,WORKDAY.INTL(D335,1,Parámetros!$B$8,Parámetros!$D$12:$D$41)))</f>
        <v/>
      </c>
      <c r="G335" s="12"/>
      <c r="H335" s="6"/>
      <c r="I335" s="12"/>
      <c r="J335" s="6"/>
      <c r="K335" s="12"/>
    </row>
    <row r="336" customFormat="false" ht="15" hidden="false" customHeight="false" outlineLevel="0" collapsed="false">
      <c r="A336" s="6"/>
      <c r="B336" s="24" t="str">
        <f aca="false">IF(A336="","",IFERROR(INDEX(Empleados!$B$5:$B$64,MATCH(A336,Empleados!$A$5:$A$64,0)),"ID no encontrado"))</f>
        <v/>
      </c>
      <c r="C336" s="13"/>
      <c r="D336" s="13"/>
      <c r="E336" s="22" t="str">
        <f aca="false">IF(OR(C336="",D336=""),"",IF(Parámetros!$B$6="Calendario",D336-C336+1,NETWORKDAYS.INTL(C336,D336,Parámetros!$B$8,Parámetros!$D$12:$D$41)))</f>
        <v/>
      </c>
      <c r="F336" s="18" t="str">
        <f aca="false">IF(D336="","",IF(Parámetros!$B$6="Calendario",D336+1,WORKDAY.INTL(D336,1,Parámetros!$B$8,Parámetros!$D$12:$D$41)))</f>
        <v/>
      </c>
      <c r="G336" s="12"/>
      <c r="H336" s="6"/>
      <c r="I336" s="12"/>
      <c r="J336" s="6"/>
      <c r="K336" s="12"/>
    </row>
    <row r="337" customFormat="false" ht="15" hidden="false" customHeight="false" outlineLevel="0" collapsed="false">
      <c r="A337" s="6"/>
      <c r="B337" s="24" t="str">
        <f aca="false">IF(A337="","",IFERROR(INDEX(Empleados!$B$5:$B$64,MATCH(A337,Empleados!$A$5:$A$64,0)),"ID no encontrado"))</f>
        <v/>
      </c>
      <c r="C337" s="13"/>
      <c r="D337" s="13"/>
      <c r="E337" s="22" t="str">
        <f aca="false">IF(OR(C337="",D337=""),"",IF(Parámetros!$B$6="Calendario",D337-C337+1,NETWORKDAYS.INTL(C337,D337,Parámetros!$B$8,Parámetros!$D$12:$D$41)))</f>
        <v/>
      </c>
      <c r="F337" s="18" t="str">
        <f aca="false">IF(D337="","",IF(Parámetros!$B$6="Calendario",D337+1,WORKDAY.INTL(D337,1,Parámetros!$B$8,Parámetros!$D$12:$D$41)))</f>
        <v/>
      </c>
      <c r="G337" s="12"/>
      <c r="H337" s="6"/>
      <c r="I337" s="12"/>
      <c r="J337" s="6"/>
      <c r="K337" s="12"/>
    </row>
    <row r="338" customFormat="false" ht="15" hidden="false" customHeight="false" outlineLevel="0" collapsed="false">
      <c r="A338" s="6"/>
      <c r="B338" s="24" t="str">
        <f aca="false">IF(A338="","",IFERROR(INDEX(Empleados!$B$5:$B$64,MATCH(A338,Empleados!$A$5:$A$64,0)),"ID no encontrado"))</f>
        <v/>
      </c>
      <c r="C338" s="13"/>
      <c r="D338" s="13"/>
      <c r="E338" s="22" t="str">
        <f aca="false">IF(OR(C338="",D338=""),"",IF(Parámetros!$B$6="Calendario",D338-C338+1,NETWORKDAYS.INTL(C338,D338,Parámetros!$B$8,Parámetros!$D$12:$D$41)))</f>
        <v/>
      </c>
      <c r="F338" s="18" t="str">
        <f aca="false">IF(D338="","",IF(Parámetros!$B$6="Calendario",D338+1,WORKDAY.INTL(D338,1,Parámetros!$B$8,Parámetros!$D$12:$D$41)))</f>
        <v/>
      </c>
      <c r="G338" s="12"/>
      <c r="H338" s="6"/>
      <c r="I338" s="12"/>
      <c r="J338" s="6"/>
      <c r="K338" s="12"/>
    </row>
    <row r="339" customFormat="false" ht="15" hidden="false" customHeight="false" outlineLevel="0" collapsed="false">
      <c r="A339" s="6"/>
      <c r="B339" s="24" t="str">
        <f aca="false">IF(A339="","",IFERROR(INDEX(Empleados!$B$5:$B$64,MATCH(A339,Empleados!$A$5:$A$64,0)),"ID no encontrado"))</f>
        <v/>
      </c>
      <c r="C339" s="13"/>
      <c r="D339" s="13"/>
      <c r="E339" s="22" t="str">
        <f aca="false">IF(OR(C339="",D339=""),"",IF(Parámetros!$B$6="Calendario",D339-C339+1,NETWORKDAYS.INTL(C339,D339,Parámetros!$B$8,Parámetros!$D$12:$D$41)))</f>
        <v/>
      </c>
      <c r="F339" s="18" t="str">
        <f aca="false">IF(D339="","",IF(Parámetros!$B$6="Calendario",D339+1,WORKDAY.INTL(D339,1,Parámetros!$B$8,Parámetros!$D$12:$D$41)))</f>
        <v/>
      </c>
      <c r="G339" s="12"/>
      <c r="H339" s="6"/>
      <c r="I339" s="12"/>
      <c r="J339" s="6"/>
      <c r="K339" s="12"/>
    </row>
    <row r="340" customFormat="false" ht="15" hidden="false" customHeight="false" outlineLevel="0" collapsed="false">
      <c r="A340" s="6"/>
      <c r="B340" s="24" t="str">
        <f aca="false">IF(A340="","",IFERROR(INDEX(Empleados!$B$5:$B$64,MATCH(A340,Empleados!$A$5:$A$64,0)),"ID no encontrado"))</f>
        <v/>
      </c>
      <c r="C340" s="13"/>
      <c r="D340" s="13"/>
      <c r="E340" s="22" t="str">
        <f aca="false">IF(OR(C340="",D340=""),"",IF(Parámetros!$B$6="Calendario",D340-C340+1,NETWORKDAYS.INTL(C340,D340,Parámetros!$B$8,Parámetros!$D$12:$D$41)))</f>
        <v/>
      </c>
      <c r="F340" s="18" t="str">
        <f aca="false">IF(D340="","",IF(Parámetros!$B$6="Calendario",D340+1,WORKDAY.INTL(D340,1,Parámetros!$B$8,Parámetros!$D$12:$D$41)))</f>
        <v/>
      </c>
      <c r="G340" s="12"/>
      <c r="H340" s="6"/>
      <c r="I340" s="12"/>
      <c r="J340" s="6"/>
      <c r="K340" s="12"/>
    </row>
    <row r="341" customFormat="false" ht="15" hidden="false" customHeight="false" outlineLevel="0" collapsed="false">
      <c r="A341" s="6"/>
      <c r="B341" s="24" t="str">
        <f aca="false">IF(A341="","",IFERROR(INDEX(Empleados!$B$5:$B$64,MATCH(A341,Empleados!$A$5:$A$64,0)),"ID no encontrado"))</f>
        <v/>
      </c>
      <c r="C341" s="13"/>
      <c r="D341" s="13"/>
      <c r="E341" s="22" t="str">
        <f aca="false">IF(OR(C341="",D341=""),"",IF(Parámetros!$B$6="Calendario",D341-C341+1,NETWORKDAYS.INTL(C341,D341,Parámetros!$B$8,Parámetros!$D$12:$D$41)))</f>
        <v/>
      </c>
      <c r="F341" s="18" t="str">
        <f aca="false">IF(D341="","",IF(Parámetros!$B$6="Calendario",D341+1,WORKDAY.INTL(D341,1,Parámetros!$B$8,Parámetros!$D$12:$D$41)))</f>
        <v/>
      </c>
      <c r="G341" s="12"/>
      <c r="H341" s="6"/>
      <c r="I341" s="12"/>
      <c r="J341" s="6"/>
      <c r="K341" s="12"/>
    </row>
    <row r="342" customFormat="false" ht="15" hidden="false" customHeight="false" outlineLevel="0" collapsed="false">
      <c r="A342" s="6"/>
      <c r="B342" s="24" t="str">
        <f aca="false">IF(A342="","",IFERROR(INDEX(Empleados!$B$5:$B$64,MATCH(A342,Empleados!$A$5:$A$64,0)),"ID no encontrado"))</f>
        <v/>
      </c>
      <c r="C342" s="13"/>
      <c r="D342" s="13"/>
      <c r="E342" s="22" t="str">
        <f aca="false">IF(OR(C342="",D342=""),"",IF(Parámetros!$B$6="Calendario",D342-C342+1,NETWORKDAYS.INTL(C342,D342,Parámetros!$B$8,Parámetros!$D$12:$D$41)))</f>
        <v/>
      </c>
      <c r="F342" s="18" t="str">
        <f aca="false">IF(D342="","",IF(Parámetros!$B$6="Calendario",D342+1,WORKDAY.INTL(D342,1,Parámetros!$B$8,Parámetros!$D$12:$D$41)))</f>
        <v/>
      </c>
      <c r="G342" s="12"/>
      <c r="H342" s="6"/>
      <c r="I342" s="12"/>
      <c r="J342" s="6"/>
      <c r="K342" s="12"/>
    </row>
    <row r="343" customFormat="false" ht="15" hidden="false" customHeight="false" outlineLevel="0" collapsed="false">
      <c r="A343" s="6"/>
      <c r="B343" s="24" t="str">
        <f aca="false">IF(A343="","",IFERROR(INDEX(Empleados!$B$5:$B$64,MATCH(A343,Empleados!$A$5:$A$64,0)),"ID no encontrado"))</f>
        <v/>
      </c>
      <c r="C343" s="13"/>
      <c r="D343" s="13"/>
      <c r="E343" s="22" t="str">
        <f aca="false">IF(OR(C343="",D343=""),"",IF(Parámetros!$B$6="Calendario",D343-C343+1,NETWORKDAYS.INTL(C343,D343,Parámetros!$B$8,Parámetros!$D$12:$D$41)))</f>
        <v/>
      </c>
      <c r="F343" s="18" t="str">
        <f aca="false">IF(D343="","",IF(Parámetros!$B$6="Calendario",D343+1,WORKDAY.INTL(D343,1,Parámetros!$B$8,Parámetros!$D$12:$D$41)))</f>
        <v/>
      </c>
      <c r="G343" s="12"/>
      <c r="H343" s="6"/>
      <c r="I343" s="12"/>
      <c r="J343" s="6"/>
      <c r="K343" s="12"/>
    </row>
    <row r="344" customFormat="false" ht="15" hidden="false" customHeight="false" outlineLevel="0" collapsed="false">
      <c r="A344" s="6"/>
      <c r="B344" s="24" t="str">
        <f aca="false">IF(A344="","",IFERROR(INDEX(Empleados!$B$5:$B$64,MATCH(A344,Empleados!$A$5:$A$64,0)),"ID no encontrado"))</f>
        <v/>
      </c>
      <c r="C344" s="13"/>
      <c r="D344" s="13"/>
      <c r="E344" s="22" t="str">
        <f aca="false">IF(OR(C344="",D344=""),"",IF(Parámetros!$B$6="Calendario",D344-C344+1,NETWORKDAYS.INTL(C344,D344,Parámetros!$B$8,Parámetros!$D$12:$D$41)))</f>
        <v/>
      </c>
      <c r="F344" s="18" t="str">
        <f aca="false">IF(D344="","",IF(Parámetros!$B$6="Calendario",D344+1,WORKDAY.INTL(D344,1,Parámetros!$B$8,Parámetros!$D$12:$D$41)))</f>
        <v/>
      </c>
      <c r="G344" s="12"/>
      <c r="H344" s="6"/>
      <c r="I344" s="12"/>
      <c r="J344" s="6"/>
      <c r="K344" s="12"/>
    </row>
    <row r="345" customFormat="false" ht="15" hidden="false" customHeight="false" outlineLevel="0" collapsed="false">
      <c r="A345" s="6"/>
      <c r="B345" s="24" t="str">
        <f aca="false">IF(A345="","",IFERROR(INDEX(Empleados!$B$5:$B$64,MATCH(A345,Empleados!$A$5:$A$64,0)),"ID no encontrado"))</f>
        <v/>
      </c>
      <c r="C345" s="13"/>
      <c r="D345" s="13"/>
      <c r="E345" s="22" t="str">
        <f aca="false">IF(OR(C345="",D345=""),"",IF(Parámetros!$B$6="Calendario",D345-C345+1,NETWORKDAYS.INTL(C345,D345,Parámetros!$B$8,Parámetros!$D$12:$D$41)))</f>
        <v/>
      </c>
      <c r="F345" s="18" t="str">
        <f aca="false">IF(D345="","",IF(Parámetros!$B$6="Calendario",D345+1,WORKDAY.INTL(D345,1,Parámetros!$B$8,Parámetros!$D$12:$D$41)))</f>
        <v/>
      </c>
      <c r="G345" s="12"/>
      <c r="H345" s="6"/>
      <c r="I345" s="12"/>
      <c r="J345" s="6"/>
      <c r="K345" s="12"/>
    </row>
    <row r="346" customFormat="false" ht="15" hidden="false" customHeight="false" outlineLevel="0" collapsed="false">
      <c r="A346" s="6"/>
      <c r="B346" s="24" t="str">
        <f aca="false">IF(A346="","",IFERROR(INDEX(Empleados!$B$5:$B$64,MATCH(A346,Empleados!$A$5:$A$64,0)),"ID no encontrado"))</f>
        <v/>
      </c>
      <c r="C346" s="13"/>
      <c r="D346" s="13"/>
      <c r="E346" s="22" t="str">
        <f aca="false">IF(OR(C346="",D346=""),"",IF(Parámetros!$B$6="Calendario",D346-C346+1,NETWORKDAYS.INTL(C346,D346,Parámetros!$B$8,Parámetros!$D$12:$D$41)))</f>
        <v/>
      </c>
      <c r="F346" s="18" t="str">
        <f aca="false">IF(D346="","",IF(Parámetros!$B$6="Calendario",D346+1,WORKDAY.INTL(D346,1,Parámetros!$B$8,Parámetros!$D$12:$D$41)))</f>
        <v/>
      </c>
      <c r="G346" s="12"/>
      <c r="H346" s="6"/>
      <c r="I346" s="12"/>
      <c r="J346" s="6"/>
      <c r="K346" s="12"/>
    </row>
    <row r="347" customFormat="false" ht="15" hidden="false" customHeight="false" outlineLevel="0" collapsed="false">
      <c r="A347" s="6"/>
      <c r="B347" s="24" t="str">
        <f aca="false">IF(A347="","",IFERROR(INDEX(Empleados!$B$5:$B$64,MATCH(A347,Empleados!$A$5:$A$64,0)),"ID no encontrado"))</f>
        <v/>
      </c>
      <c r="C347" s="13"/>
      <c r="D347" s="13"/>
      <c r="E347" s="22" t="str">
        <f aca="false">IF(OR(C347="",D347=""),"",IF(Parámetros!$B$6="Calendario",D347-C347+1,NETWORKDAYS.INTL(C347,D347,Parámetros!$B$8,Parámetros!$D$12:$D$41)))</f>
        <v/>
      </c>
      <c r="F347" s="18" t="str">
        <f aca="false">IF(D347="","",IF(Parámetros!$B$6="Calendario",D347+1,WORKDAY.INTL(D347,1,Parámetros!$B$8,Parámetros!$D$12:$D$41)))</f>
        <v/>
      </c>
      <c r="G347" s="12"/>
      <c r="H347" s="6"/>
      <c r="I347" s="12"/>
      <c r="J347" s="6"/>
      <c r="K347" s="12"/>
    </row>
    <row r="348" customFormat="false" ht="15" hidden="false" customHeight="false" outlineLevel="0" collapsed="false">
      <c r="A348" s="6"/>
      <c r="B348" s="24" t="str">
        <f aca="false">IF(A348="","",IFERROR(INDEX(Empleados!$B$5:$B$64,MATCH(A348,Empleados!$A$5:$A$64,0)),"ID no encontrado"))</f>
        <v/>
      </c>
      <c r="C348" s="13"/>
      <c r="D348" s="13"/>
      <c r="E348" s="22" t="str">
        <f aca="false">IF(OR(C348="",D348=""),"",IF(Parámetros!$B$6="Calendario",D348-C348+1,NETWORKDAYS.INTL(C348,D348,Parámetros!$B$8,Parámetros!$D$12:$D$41)))</f>
        <v/>
      </c>
      <c r="F348" s="18" t="str">
        <f aca="false">IF(D348="","",IF(Parámetros!$B$6="Calendario",D348+1,WORKDAY.INTL(D348,1,Parámetros!$B$8,Parámetros!$D$12:$D$41)))</f>
        <v/>
      </c>
      <c r="G348" s="12"/>
      <c r="H348" s="6"/>
      <c r="I348" s="12"/>
      <c r="J348" s="6"/>
      <c r="K348" s="12"/>
    </row>
    <row r="349" customFormat="false" ht="15" hidden="false" customHeight="false" outlineLevel="0" collapsed="false">
      <c r="A349" s="6"/>
      <c r="B349" s="24" t="str">
        <f aca="false">IF(A349="","",IFERROR(INDEX(Empleados!$B$5:$B$64,MATCH(A349,Empleados!$A$5:$A$64,0)),"ID no encontrado"))</f>
        <v/>
      </c>
      <c r="C349" s="13"/>
      <c r="D349" s="13"/>
      <c r="E349" s="22" t="str">
        <f aca="false">IF(OR(C349="",D349=""),"",IF(Parámetros!$B$6="Calendario",D349-C349+1,NETWORKDAYS.INTL(C349,D349,Parámetros!$B$8,Parámetros!$D$12:$D$41)))</f>
        <v/>
      </c>
      <c r="F349" s="18" t="str">
        <f aca="false">IF(D349="","",IF(Parámetros!$B$6="Calendario",D349+1,WORKDAY.INTL(D349,1,Parámetros!$B$8,Parámetros!$D$12:$D$41)))</f>
        <v/>
      </c>
      <c r="G349" s="12"/>
      <c r="H349" s="6"/>
      <c r="I349" s="12"/>
      <c r="J349" s="6"/>
      <c r="K349" s="12"/>
    </row>
    <row r="350" customFormat="false" ht="15" hidden="false" customHeight="false" outlineLevel="0" collapsed="false">
      <c r="A350" s="6"/>
      <c r="B350" s="24" t="str">
        <f aca="false">IF(A350="","",IFERROR(INDEX(Empleados!$B$5:$B$64,MATCH(A350,Empleados!$A$5:$A$64,0)),"ID no encontrado"))</f>
        <v/>
      </c>
      <c r="C350" s="13"/>
      <c r="D350" s="13"/>
      <c r="E350" s="22" t="str">
        <f aca="false">IF(OR(C350="",D350=""),"",IF(Parámetros!$B$6="Calendario",D350-C350+1,NETWORKDAYS.INTL(C350,D350,Parámetros!$B$8,Parámetros!$D$12:$D$41)))</f>
        <v/>
      </c>
      <c r="F350" s="18" t="str">
        <f aca="false">IF(D350="","",IF(Parámetros!$B$6="Calendario",D350+1,WORKDAY.INTL(D350,1,Parámetros!$B$8,Parámetros!$D$12:$D$41)))</f>
        <v/>
      </c>
      <c r="G350" s="12"/>
      <c r="H350" s="6"/>
      <c r="I350" s="12"/>
      <c r="J350" s="6"/>
      <c r="K350" s="12"/>
    </row>
    <row r="351" customFormat="false" ht="15" hidden="false" customHeight="false" outlineLevel="0" collapsed="false">
      <c r="A351" s="6"/>
      <c r="B351" s="24" t="str">
        <f aca="false">IF(A351="","",IFERROR(INDEX(Empleados!$B$5:$B$64,MATCH(A351,Empleados!$A$5:$A$64,0)),"ID no encontrado"))</f>
        <v/>
      </c>
      <c r="C351" s="13"/>
      <c r="D351" s="13"/>
      <c r="E351" s="22" t="str">
        <f aca="false">IF(OR(C351="",D351=""),"",IF(Parámetros!$B$6="Calendario",D351-C351+1,NETWORKDAYS.INTL(C351,D351,Parámetros!$B$8,Parámetros!$D$12:$D$41)))</f>
        <v/>
      </c>
      <c r="F351" s="18" t="str">
        <f aca="false">IF(D351="","",IF(Parámetros!$B$6="Calendario",D351+1,WORKDAY.INTL(D351,1,Parámetros!$B$8,Parámetros!$D$12:$D$41)))</f>
        <v/>
      </c>
      <c r="G351" s="12"/>
      <c r="H351" s="6"/>
      <c r="I351" s="12"/>
      <c r="J351" s="6"/>
      <c r="K351" s="12"/>
    </row>
    <row r="352" customFormat="false" ht="15" hidden="false" customHeight="false" outlineLevel="0" collapsed="false">
      <c r="A352" s="6"/>
      <c r="B352" s="24" t="str">
        <f aca="false">IF(A352="","",IFERROR(INDEX(Empleados!$B$5:$B$64,MATCH(A352,Empleados!$A$5:$A$64,0)),"ID no encontrado"))</f>
        <v/>
      </c>
      <c r="C352" s="13"/>
      <c r="D352" s="13"/>
      <c r="E352" s="22" t="str">
        <f aca="false">IF(OR(C352="",D352=""),"",IF(Parámetros!$B$6="Calendario",D352-C352+1,NETWORKDAYS.INTL(C352,D352,Parámetros!$B$8,Parámetros!$D$12:$D$41)))</f>
        <v/>
      </c>
      <c r="F352" s="18" t="str">
        <f aca="false">IF(D352="","",IF(Parámetros!$B$6="Calendario",D352+1,WORKDAY.INTL(D352,1,Parámetros!$B$8,Parámetros!$D$12:$D$41)))</f>
        <v/>
      </c>
      <c r="G352" s="12"/>
      <c r="H352" s="6"/>
      <c r="I352" s="12"/>
      <c r="J352" s="6"/>
      <c r="K352" s="12"/>
    </row>
    <row r="353" customFormat="false" ht="15" hidden="false" customHeight="false" outlineLevel="0" collapsed="false">
      <c r="A353" s="6"/>
      <c r="B353" s="24" t="str">
        <f aca="false">IF(A353="","",IFERROR(INDEX(Empleados!$B$5:$B$64,MATCH(A353,Empleados!$A$5:$A$64,0)),"ID no encontrado"))</f>
        <v/>
      </c>
      <c r="C353" s="13"/>
      <c r="D353" s="13"/>
      <c r="E353" s="22" t="str">
        <f aca="false">IF(OR(C353="",D353=""),"",IF(Parámetros!$B$6="Calendario",D353-C353+1,NETWORKDAYS.INTL(C353,D353,Parámetros!$B$8,Parámetros!$D$12:$D$41)))</f>
        <v/>
      </c>
      <c r="F353" s="18" t="str">
        <f aca="false">IF(D353="","",IF(Parámetros!$B$6="Calendario",D353+1,WORKDAY.INTL(D353,1,Parámetros!$B$8,Parámetros!$D$12:$D$41)))</f>
        <v/>
      </c>
      <c r="G353" s="12"/>
      <c r="H353" s="6"/>
      <c r="I353" s="12"/>
      <c r="J353" s="6"/>
      <c r="K353" s="12"/>
    </row>
    <row r="354" customFormat="false" ht="15" hidden="false" customHeight="false" outlineLevel="0" collapsed="false">
      <c r="A354" s="6"/>
      <c r="B354" s="24" t="str">
        <f aca="false">IF(A354="","",IFERROR(INDEX(Empleados!$B$5:$B$64,MATCH(A354,Empleados!$A$5:$A$64,0)),"ID no encontrado"))</f>
        <v/>
      </c>
      <c r="C354" s="13"/>
      <c r="D354" s="13"/>
      <c r="E354" s="22" t="str">
        <f aca="false">IF(OR(C354="",D354=""),"",IF(Parámetros!$B$6="Calendario",D354-C354+1,NETWORKDAYS.INTL(C354,D354,Parámetros!$B$8,Parámetros!$D$12:$D$41)))</f>
        <v/>
      </c>
      <c r="F354" s="18" t="str">
        <f aca="false">IF(D354="","",IF(Parámetros!$B$6="Calendario",D354+1,WORKDAY.INTL(D354,1,Parámetros!$B$8,Parámetros!$D$12:$D$41)))</f>
        <v/>
      </c>
      <c r="G354" s="12"/>
      <c r="H354" s="6"/>
      <c r="I354" s="12"/>
      <c r="J354" s="6"/>
      <c r="K354" s="12"/>
    </row>
    <row r="355" customFormat="false" ht="15" hidden="false" customHeight="false" outlineLevel="0" collapsed="false">
      <c r="A355" s="6"/>
      <c r="B355" s="24" t="str">
        <f aca="false">IF(A355="","",IFERROR(INDEX(Empleados!$B$5:$B$64,MATCH(A355,Empleados!$A$5:$A$64,0)),"ID no encontrado"))</f>
        <v/>
      </c>
      <c r="C355" s="13"/>
      <c r="D355" s="13"/>
      <c r="E355" s="22" t="str">
        <f aca="false">IF(OR(C355="",D355=""),"",IF(Parámetros!$B$6="Calendario",D355-C355+1,NETWORKDAYS.INTL(C355,D355,Parámetros!$B$8,Parámetros!$D$12:$D$41)))</f>
        <v/>
      </c>
      <c r="F355" s="18" t="str">
        <f aca="false">IF(D355="","",IF(Parámetros!$B$6="Calendario",D355+1,WORKDAY.INTL(D355,1,Parámetros!$B$8,Parámetros!$D$12:$D$41)))</f>
        <v/>
      </c>
      <c r="G355" s="12"/>
      <c r="H355" s="6"/>
      <c r="I355" s="12"/>
      <c r="J355" s="6"/>
      <c r="K355" s="12"/>
    </row>
    <row r="356" customFormat="false" ht="15" hidden="false" customHeight="false" outlineLevel="0" collapsed="false">
      <c r="A356" s="6"/>
      <c r="B356" s="24" t="str">
        <f aca="false">IF(A356="","",IFERROR(INDEX(Empleados!$B$5:$B$64,MATCH(A356,Empleados!$A$5:$A$64,0)),"ID no encontrado"))</f>
        <v/>
      </c>
      <c r="C356" s="13"/>
      <c r="D356" s="13"/>
      <c r="E356" s="22" t="str">
        <f aca="false">IF(OR(C356="",D356=""),"",IF(Parámetros!$B$6="Calendario",D356-C356+1,NETWORKDAYS.INTL(C356,D356,Parámetros!$B$8,Parámetros!$D$12:$D$41)))</f>
        <v/>
      </c>
      <c r="F356" s="18" t="str">
        <f aca="false">IF(D356="","",IF(Parámetros!$B$6="Calendario",D356+1,WORKDAY.INTL(D356,1,Parámetros!$B$8,Parámetros!$D$12:$D$41)))</f>
        <v/>
      </c>
      <c r="G356" s="12"/>
      <c r="H356" s="6"/>
      <c r="I356" s="12"/>
      <c r="J356" s="6"/>
      <c r="K356" s="12"/>
    </row>
    <row r="357" customFormat="false" ht="15" hidden="false" customHeight="false" outlineLevel="0" collapsed="false">
      <c r="A357" s="6"/>
      <c r="B357" s="24" t="str">
        <f aca="false">IF(A357="","",IFERROR(INDEX(Empleados!$B$5:$B$64,MATCH(A357,Empleados!$A$5:$A$64,0)),"ID no encontrado"))</f>
        <v/>
      </c>
      <c r="C357" s="13"/>
      <c r="D357" s="13"/>
      <c r="E357" s="22" t="str">
        <f aca="false">IF(OR(C357="",D357=""),"",IF(Parámetros!$B$6="Calendario",D357-C357+1,NETWORKDAYS.INTL(C357,D357,Parámetros!$B$8,Parámetros!$D$12:$D$41)))</f>
        <v/>
      </c>
      <c r="F357" s="18" t="str">
        <f aca="false">IF(D357="","",IF(Parámetros!$B$6="Calendario",D357+1,WORKDAY.INTL(D357,1,Parámetros!$B$8,Parámetros!$D$12:$D$41)))</f>
        <v/>
      </c>
      <c r="G357" s="12"/>
      <c r="H357" s="6"/>
      <c r="I357" s="12"/>
      <c r="J357" s="6"/>
      <c r="K357" s="12"/>
    </row>
    <row r="358" customFormat="false" ht="15" hidden="false" customHeight="false" outlineLevel="0" collapsed="false">
      <c r="A358" s="6"/>
      <c r="B358" s="24" t="str">
        <f aca="false">IF(A358="","",IFERROR(INDEX(Empleados!$B$5:$B$64,MATCH(A358,Empleados!$A$5:$A$64,0)),"ID no encontrado"))</f>
        <v/>
      </c>
      <c r="C358" s="13"/>
      <c r="D358" s="13"/>
      <c r="E358" s="22" t="str">
        <f aca="false">IF(OR(C358="",D358=""),"",IF(Parámetros!$B$6="Calendario",D358-C358+1,NETWORKDAYS.INTL(C358,D358,Parámetros!$B$8,Parámetros!$D$12:$D$41)))</f>
        <v/>
      </c>
      <c r="F358" s="18" t="str">
        <f aca="false">IF(D358="","",IF(Parámetros!$B$6="Calendario",D358+1,WORKDAY.INTL(D358,1,Parámetros!$B$8,Parámetros!$D$12:$D$41)))</f>
        <v/>
      </c>
      <c r="G358" s="12"/>
      <c r="H358" s="6"/>
      <c r="I358" s="12"/>
      <c r="J358" s="6"/>
      <c r="K358" s="12"/>
    </row>
    <row r="359" customFormat="false" ht="15" hidden="false" customHeight="false" outlineLevel="0" collapsed="false">
      <c r="A359" s="6"/>
      <c r="B359" s="24" t="str">
        <f aca="false">IF(A359="","",IFERROR(INDEX(Empleados!$B$5:$B$64,MATCH(A359,Empleados!$A$5:$A$64,0)),"ID no encontrado"))</f>
        <v/>
      </c>
      <c r="C359" s="13"/>
      <c r="D359" s="13"/>
      <c r="E359" s="22" t="str">
        <f aca="false">IF(OR(C359="",D359=""),"",IF(Parámetros!$B$6="Calendario",D359-C359+1,NETWORKDAYS.INTL(C359,D359,Parámetros!$B$8,Parámetros!$D$12:$D$41)))</f>
        <v/>
      </c>
      <c r="F359" s="18" t="str">
        <f aca="false">IF(D359="","",IF(Parámetros!$B$6="Calendario",D359+1,WORKDAY.INTL(D359,1,Parámetros!$B$8,Parámetros!$D$12:$D$41)))</f>
        <v/>
      </c>
      <c r="G359" s="12"/>
      <c r="H359" s="6"/>
      <c r="I359" s="12"/>
      <c r="J359" s="6"/>
      <c r="K359" s="12"/>
    </row>
    <row r="360" customFormat="false" ht="15" hidden="false" customHeight="false" outlineLevel="0" collapsed="false">
      <c r="A360" s="6"/>
      <c r="B360" s="24" t="str">
        <f aca="false">IF(A360="","",IFERROR(INDEX(Empleados!$B$5:$B$64,MATCH(A360,Empleados!$A$5:$A$64,0)),"ID no encontrado"))</f>
        <v/>
      </c>
      <c r="C360" s="13"/>
      <c r="D360" s="13"/>
      <c r="E360" s="22" t="str">
        <f aca="false">IF(OR(C360="",D360=""),"",IF(Parámetros!$B$6="Calendario",D360-C360+1,NETWORKDAYS.INTL(C360,D360,Parámetros!$B$8,Parámetros!$D$12:$D$41)))</f>
        <v/>
      </c>
      <c r="F360" s="18" t="str">
        <f aca="false">IF(D360="","",IF(Parámetros!$B$6="Calendario",D360+1,WORKDAY.INTL(D360,1,Parámetros!$B$8,Parámetros!$D$12:$D$41)))</f>
        <v/>
      </c>
      <c r="G360" s="12"/>
      <c r="H360" s="6"/>
      <c r="I360" s="12"/>
      <c r="J360" s="6"/>
      <c r="K360" s="12"/>
    </row>
    <row r="361" customFormat="false" ht="15" hidden="false" customHeight="false" outlineLevel="0" collapsed="false">
      <c r="A361" s="6"/>
      <c r="B361" s="24" t="str">
        <f aca="false">IF(A361="","",IFERROR(INDEX(Empleados!$B$5:$B$64,MATCH(A361,Empleados!$A$5:$A$64,0)),"ID no encontrado"))</f>
        <v/>
      </c>
      <c r="C361" s="13"/>
      <c r="D361" s="13"/>
      <c r="E361" s="22" t="str">
        <f aca="false">IF(OR(C361="",D361=""),"",IF(Parámetros!$B$6="Calendario",D361-C361+1,NETWORKDAYS.INTL(C361,D361,Parámetros!$B$8,Parámetros!$D$12:$D$41)))</f>
        <v/>
      </c>
      <c r="F361" s="18" t="str">
        <f aca="false">IF(D361="","",IF(Parámetros!$B$6="Calendario",D361+1,WORKDAY.INTL(D361,1,Parámetros!$B$8,Parámetros!$D$12:$D$41)))</f>
        <v/>
      </c>
      <c r="G361" s="12"/>
      <c r="H361" s="6"/>
      <c r="I361" s="12"/>
      <c r="J361" s="6"/>
      <c r="K361" s="12"/>
    </row>
    <row r="362" customFormat="false" ht="15" hidden="false" customHeight="false" outlineLevel="0" collapsed="false">
      <c r="A362" s="6"/>
      <c r="B362" s="24" t="str">
        <f aca="false">IF(A362="","",IFERROR(INDEX(Empleados!$B$5:$B$64,MATCH(A362,Empleados!$A$5:$A$64,0)),"ID no encontrado"))</f>
        <v/>
      </c>
      <c r="C362" s="13"/>
      <c r="D362" s="13"/>
      <c r="E362" s="22" t="str">
        <f aca="false">IF(OR(C362="",D362=""),"",IF(Parámetros!$B$6="Calendario",D362-C362+1,NETWORKDAYS.INTL(C362,D362,Parámetros!$B$8,Parámetros!$D$12:$D$41)))</f>
        <v/>
      </c>
      <c r="F362" s="18" t="str">
        <f aca="false">IF(D362="","",IF(Parámetros!$B$6="Calendario",D362+1,WORKDAY.INTL(D362,1,Parámetros!$B$8,Parámetros!$D$12:$D$41)))</f>
        <v/>
      </c>
      <c r="G362" s="12"/>
      <c r="H362" s="6"/>
      <c r="I362" s="12"/>
      <c r="J362" s="6"/>
      <c r="K362" s="12"/>
    </row>
    <row r="363" customFormat="false" ht="15" hidden="false" customHeight="false" outlineLevel="0" collapsed="false">
      <c r="A363" s="6"/>
      <c r="B363" s="24" t="str">
        <f aca="false">IF(A363="","",IFERROR(INDEX(Empleados!$B$5:$B$64,MATCH(A363,Empleados!$A$5:$A$64,0)),"ID no encontrado"))</f>
        <v/>
      </c>
      <c r="C363" s="13"/>
      <c r="D363" s="13"/>
      <c r="E363" s="22" t="str">
        <f aca="false">IF(OR(C363="",D363=""),"",IF(Parámetros!$B$6="Calendario",D363-C363+1,NETWORKDAYS.INTL(C363,D363,Parámetros!$B$8,Parámetros!$D$12:$D$41)))</f>
        <v/>
      </c>
      <c r="F363" s="18" t="str">
        <f aca="false">IF(D363="","",IF(Parámetros!$B$6="Calendario",D363+1,WORKDAY.INTL(D363,1,Parámetros!$B$8,Parámetros!$D$12:$D$41)))</f>
        <v/>
      </c>
      <c r="G363" s="12"/>
      <c r="H363" s="6"/>
      <c r="I363" s="12"/>
      <c r="J363" s="6"/>
      <c r="K363" s="12"/>
    </row>
    <row r="364" customFormat="false" ht="15" hidden="false" customHeight="false" outlineLevel="0" collapsed="false">
      <c r="A364" s="6"/>
      <c r="B364" s="24" t="str">
        <f aca="false">IF(A364="","",IFERROR(INDEX(Empleados!$B$5:$B$64,MATCH(A364,Empleados!$A$5:$A$64,0)),"ID no encontrado"))</f>
        <v/>
      </c>
      <c r="C364" s="13"/>
      <c r="D364" s="13"/>
      <c r="E364" s="22" t="str">
        <f aca="false">IF(OR(C364="",D364=""),"",IF(Parámetros!$B$6="Calendario",D364-C364+1,NETWORKDAYS.INTL(C364,D364,Parámetros!$B$8,Parámetros!$D$12:$D$41)))</f>
        <v/>
      </c>
      <c r="F364" s="18" t="str">
        <f aca="false">IF(D364="","",IF(Parámetros!$B$6="Calendario",D364+1,WORKDAY.INTL(D364,1,Parámetros!$B$8,Parámetros!$D$12:$D$41)))</f>
        <v/>
      </c>
      <c r="G364" s="12"/>
      <c r="H364" s="6"/>
      <c r="I364" s="12"/>
      <c r="J364" s="6"/>
      <c r="K364" s="12"/>
    </row>
    <row r="365" customFormat="false" ht="15" hidden="false" customHeight="false" outlineLevel="0" collapsed="false">
      <c r="A365" s="6"/>
      <c r="B365" s="24" t="str">
        <f aca="false">IF(A365="","",IFERROR(INDEX(Empleados!$B$5:$B$64,MATCH(A365,Empleados!$A$5:$A$64,0)),"ID no encontrado"))</f>
        <v/>
      </c>
      <c r="C365" s="13"/>
      <c r="D365" s="13"/>
      <c r="E365" s="22" t="str">
        <f aca="false">IF(OR(C365="",D365=""),"",IF(Parámetros!$B$6="Calendario",D365-C365+1,NETWORKDAYS.INTL(C365,D365,Parámetros!$B$8,Parámetros!$D$12:$D$41)))</f>
        <v/>
      </c>
      <c r="F365" s="18" t="str">
        <f aca="false">IF(D365="","",IF(Parámetros!$B$6="Calendario",D365+1,WORKDAY.INTL(D365,1,Parámetros!$B$8,Parámetros!$D$12:$D$41)))</f>
        <v/>
      </c>
      <c r="G365" s="12"/>
      <c r="H365" s="6"/>
      <c r="I365" s="12"/>
      <c r="J365" s="6"/>
      <c r="K365" s="12"/>
    </row>
    <row r="366" customFormat="false" ht="15" hidden="false" customHeight="false" outlineLevel="0" collapsed="false">
      <c r="A366" s="6"/>
      <c r="B366" s="24" t="str">
        <f aca="false">IF(A366="","",IFERROR(INDEX(Empleados!$B$5:$B$64,MATCH(A366,Empleados!$A$5:$A$64,0)),"ID no encontrado"))</f>
        <v/>
      </c>
      <c r="C366" s="13"/>
      <c r="D366" s="13"/>
      <c r="E366" s="22" t="str">
        <f aca="false">IF(OR(C366="",D366=""),"",IF(Parámetros!$B$6="Calendario",D366-C366+1,NETWORKDAYS.INTL(C366,D366,Parámetros!$B$8,Parámetros!$D$12:$D$41)))</f>
        <v/>
      </c>
      <c r="F366" s="18" t="str">
        <f aca="false">IF(D366="","",IF(Parámetros!$B$6="Calendario",D366+1,WORKDAY.INTL(D366,1,Parámetros!$B$8,Parámetros!$D$12:$D$41)))</f>
        <v/>
      </c>
      <c r="G366" s="12"/>
      <c r="H366" s="6"/>
      <c r="I366" s="12"/>
      <c r="J366" s="6"/>
      <c r="K366" s="12"/>
    </row>
    <row r="367" customFormat="false" ht="15" hidden="false" customHeight="false" outlineLevel="0" collapsed="false">
      <c r="A367" s="6"/>
      <c r="B367" s="24" t="str">
        <f aca="false">IF(A367="","",IFERROR(INDEX(Empleados!$B$5:$B$64,MATCH(A367,Empleados!$A$5:$A$64,0)),"ID no encontrado"))</f>
        <v/>
      </c>
      <c r="C367" s="13"/>
      <c r="D367" s="13"/>
      <c r="E367" s="22" t="str">
        <f aca="false">IF(OR(C367="",D367=""),"",IF(Parámetros!$B$6="Calendario",D367-C367+1,NETWORKDAYS.INTL(C367,D367,Parámetros!$B$8,Parámetros!$D$12:$D$41)))</f>
        <v/>
      </c>
      <c r="F367" s="18" t="str">
        <f aca="false">IF(D367="","",IF(Parámetros!$B$6="Calendario",D367+1,WORKDAY.INTL(D367,1,Parámetros!$B$8,Parámetros!$D$12:$D$41)))</f>
        <v/>
      </c>
      <c r="G367" s="12"/>
      <c r="H367" s="6"/>
      <c r="I367" s="12"/>
      <c r="J367" s="6"/>
      <c r="K367" s="12"/>
    </row>
    <row r="368" customFormat="false" ht="15" hidden="false" customHeight="false" outlineLevel="0" collapsed="false">
      <c r="A368" s="6"/>
      <c r="B368" s="24" t="str">
        <f aca="false">IF(A368="","",IFERROR(INDEX(Empleados!$B$5:$B$64,MATCH(A368,Empleados!$A$5:$A$64,0)),"ID no encontrado"))</f>
        <v/>
      </c>
      <c r="C368" s="13"/>
      <c r="D368" s="13"/>
      <c r="E368" s="22" t="str">
        <f aca="false">IF(OR(C368="",D368=""),"",IF(Parámetros!$B$6="Calendario",D368-C368+1,NETWORKDAYS.INTL(C368,D368,Parámetros!$B$8,Parámetros!$D$12:$D$41)))</f>
        <v/>
      </c>
      <c r="F368" s="18" t="str">
        <f aca="false">IF(D368="","",IF(Parámetros!$B$6="Calendario",D368+1,WORKDAY.INTL(D368,1,Parámetros!$B$8,Parámetros!$D$12:$D$41)))</f>
        <v/>
      </c>
      <c r="G368" s="12"/>
      <c r="H368" s="6"/>
      <c r="I368" s="12"/>
      <c r="J368" s="6"/>
      <c r="K368" s="12"/>
    </row>
    <row r="369" customFormat="false" ht="15" hidden="false" customHeight="false" outlineLevel="0" collapsed="false">
      <c r="A369" s="6"/>
      <c r="B369" s="24" t="str">
        <f aca="false">IF(A369="","",IFERROR(INDEX(Empleados!$B$5:$B$64,MATCH(A369,Empleados!$A$5:$A$64,0)),"ID no encontrado"))</f>
        <v/>
      </c>
      <c r="C369" s="13"/>
      <c r="D369" s="13"/>
      <c r="E369" s="22" t="str">
        <f aca="false">IF(OR(C369="",D369=""),"",IF(Parámetros!$B$6="Calendario",D369-C369+1,NETWORKDAYS.INTL(C369,D369,Parámetros!$B$8,Parámetros!$D$12:$D$41)))</f>
        <v/>
      </c>
      <c r="F369" s="18" t="str">
        <f aca="false">IF(D369="","",IF(Parámetros!$B$6="Calendario",D369+1,WORKDAY.INTL(D369,1,Parámetros!$B$8,Parámetros!$D$12:$D$41)))</f>
        <v/>
      </c>
      <c r="G369" s="12"/>
      <c r="H369" s="6"/>
      <c r="I369" s="12"/>
      <c r="J369" s="6"/>
      <c r="K369" s="12"/>
    </row>
    <row r="370" customFormat="false" ht="15" hidden="false" customHeight="false" outlineLevel="0" collapsed="false">
      <c r="A370" s="6"/>
      <c r="B370" s="24" t="str">
        <f aca="false">IF(A370="","",IFERROR(INDEX(Empleados!$B$5:$B$64,MATCH(A370,Empleados!$A$5:$A$64,0)),"ID no encontrado"))</f>
        <v/>
      </c>
      <c r="C370" s="13"/>
      <c r="D370" s="13"/>
      <c r="E370" s="22" t="str">
        <f aca="false">IF(OR(C370="",D370=""),"",IF(Parámetros!$B$6="Calendario",D370-C370+1,NETWORKDAYS.INTL(C370,D370,Parámetros!$B$8,Parámetros!$D$12:$D$41)))</f>
        <v/>
      </c>
      <c r="F370" s="18" t="str">
        <f aca="false">IF(D370="","",IF(Parámetros!$B$6="Calendario",D370+1,WORKDAY.INTL(D370,1,Parámetros!$B$8,Parámetros!$D$12:$D$41)))</f>
        <v/>
      </c>
      <c r="G370" s="12"/>
      <c r="H370" s="6"/>
      <c r="I370" s="12"/>
      <c r="J370" s="6"/>
      <c r="K370" s="12"/>
    </row>
    <row r="371" customFormat="false" ht="15" hidden="false" customHeight="false" outlineLevel="0" collapsed="false">
      <c r="A371" s="6"/>
      <c r="B371" s="24" t="str">
        <f aca="false">IF(A371="","",IFERROR(INDEX(Empleados!$B$5:$B$64,MATCH(A371,Empleados!$A$5:$A$64,0)),"ID no encontrado"))</f>
        <v/>
      </c>
      <c r="C371" s="13"/>
      <c r="D371" s="13"/>
      <c r="E371" s="22" t="str">
        <f aca="false">IF(OR(C371="",D371=""),"",IF(Parámetros!$B$6="Calendario",D371-C371+1,NETWORKDAYS.INTL(C371,D371,Parámetros!$B$8,Parámetros!$D$12:$D$41)))</f>
        <v/>
      </c>
      <c r="F371" s="18" t="str">
        <f aca="false">IF(D371="","",IF(Parámetros!$B$6="Calendario",D371+1,WORKDAY.INTL(D371,1,Parámetros!$B$8,Parámetros!$D$12:$D$41)))</f>
        <v/>
      </c>
      <c r="G371" s="12"/>
      <c r="H371" s="6"/>
      <c r="I371" s="12"/>
      <c r="J371" s="6"/>
      <c r="K371" s="12"/>
    </row>
    <row r="372" customFormat="false" ht="15" hidden="false" customHeight="false" outlineLevel="0" collapsed="false">
      <c r="A372" s="6"/>
      <c r="B372" s="24" t="str">
        <f aca="false">IF(A372="","",IFERROR(INDEX(Empleados!$B$5:$B$64,MATCH(A372,Empleados!$A$5:$A$64,0)),"ID no encontrado"))</f>
        <v/>
      </c>
      <c r="C372" s="13"/>
      <c r="D372" s="13"/>
      <c r="E372" s="22" t="str">
        <f aca="false">IF(OR(C372="",D372=""),"",IF(Parámetros!$B$6="Calendario",D372-C372+1,NETWORKDAYS.INTL(C372,D372,Parámetros!$B$8,Parámetros!$D$12:$D$41)))</f>
        <v/>
      </c>
      <c r="F372" s="18" t="str">
        <f aca="false">IF(D372="","",IF(Parámetros!$B$6="Calendario",D372+1,WORKDAY.INTL(D372,1,Parámetros!$B$8,Parámetros!$D$12:$D$41)))</f>
        <v/>
      </c>
      <c r="G372" s="12"/>
      <c r="H372" s="6"/>
      <c r="I372" s="12"/>
      <c r="J372" s="6"/>
      <c r="K372" s="12"/>
    </row>
    <row r="373" customFormat="false" ht="15" hidden="false" customHeight="false" outlineLevel="0" collapsed="false">
      <c r="A373" s="6"/>
      <c r="B373" s="24" t="str">
        <f aca="false">IF(A373="","",IFERROR(INDEX(Empleados!$B$5:$B$64,MATCH(A373,Empleados!$A$5:$A$64,0)),"ID no encontrado"))</f>
        <v/>
      </c>
      <c r="C373" s="13"/>
      <c r="D373" s="13"/>
      <c r="E373" s="22" t="str">
        <f aca="false">IF(OR(C373="",D373=""),"",IF(Parámetros!$B$6="Calendario",D373-C373+1,NETWORKDAYS.INTL(C373,D373,Parámetros!$B$8,Parámetros!$D$12:$D$41)))</f>
        <v/>
      </c>
      <c r="F373" s="18" t="str">
        <f aca="false">IF(D373="","",IF(Parámetros!$B$6="Calendario",D373+1,WORKDAY.INTL(D373,1,Parámetros!$B$8,Parámetros!$D$12:$D$41)))</f>
        <v/>
      </c>
      <c r="G373" s="12"/>
      <c r="H373" s="6"/>
      <c r="I373" s="12"/>
      <c r="J373" s="6"/>
      <c r="K373" s="12"/>
    </row>
    <row r="374" customFormat="false" ht="15" hidden="false" customHeight="false" outlineLevel="0" collapsed="false">
      <c r="A374" s="6"/>
      <c r="B374" s="24" t="str">
        <f aca="false">IF(A374="","",IFERROR(INDEX(Empleados!$B$5:$B$64,MATCH(A374,Empleados!$A$5:$A$64,0)),"ID no encontrado"))</f>
        <v/>
      </c>
      <c r="C374" s="13"/>
      <c r="D374" s="13"/>
      <c r="E374" s="22" t="str">
        <f aca="false">IF(OR(C374="",D374=""),"",IF(Parámetros!$B$6="Calendario",D374-C374+1,NETWORKDAYS.INTL(C374,D374,Parámetros!$B$8,Parámetros!$D$12:$D$41)))</f>
        <v/>
      </c>
      <c r="F374" s="18" t="str">
        <f aca="false">IF(D374="","",IF(Parámetros!$B$6="Calendario",D374+1,WORKDAY.INTL(D374,1,Parámetros!$B$8,Parámetros!$D$12:$D$41)))</f>
        <v/>
      </c>
      <c r="G374" s="12"/>
      <c r="H374" s="6"/>
      <c r="I374" s="12"/>
      <c r="J374" s="6"/>
      <c r="K374" s="12"/>
    </row>
    <row r="375" customFormat="false" ht="15" hidden="false" customHeight="false" outlineLevel="0" collapsed="false">
      <c r="A375" s="6"/>
      <c r="B375" s="24" t="str">
        <f aca="false">IF(A375="","",IFERROR(INDEX(Empleados!$B$5:$B$64,MATCH(A375,Empleados!$A$5:$A$64,0)),"ID no encontrado"))</f>
        <v/>
      </c>
      <c r="C375" s="13"/>
      <c r="D375" s="13"/>
      <c r="E375" s="22" t="str">
        <f aca="false">IF(OR(C375="",D375=""),"",IF(Parámetros!$B$6="Calendario",D375-C375+1,NETWORKDAYS.INTL(C375,D375,Parámetros!$B$8,Parámetros!$D$12:$D$41)))</f>
        <v/>
      </c>
      <c r="F375" s="18" t="str">
        <f aca="false">IF(D375="","",IF(Parámetros!$B$6="Calendario",D375+1,WORKDAY.INTL(D375,1,Parámetros!$B$8,Parámetros!$D$12:$D$41)))</f>
        <v/>
      </c>
      <c r="G375" s="12"/>
      <c r="H375" s="6"/>
      <c r="I375" s="12"/>
      <c r="J375" s="6"/>
      <c r="K375" s="12"/>
    </row>
    <row r="376" customFormat="false" ht="15" hidden="false" customHeight="false" outlineLevel="0" collapsed="false">
      <c r="A376" s="6"/>
      <c r="B376" s="24" t="str">
        <f aca="false">IF(A376="","",IFERROR(INDEX(Empleados!$B$5:$B$64,MATCH(A376,Empleados!$A$5:$A$64,0)),"ID no encontrado"))</f>
        <v/>
      </c>
      <c r="C376" s="13"/>
      <c r="D376" s="13"/>
      <c r="E376" s="22" t="str">
        <f aca="false">IF(OR(C376="",D376=""),"",IF(Parámetros!$B$6="Calendario",D376-C376+1,NETWORKDAYS.INTL(C376,D376,Parámetros!$B$8,Parámetros!$D$12:$D$41)))</f>
        <v/>
      </c>
      <c r="F376" s="18" t="str">
        <f aca="false">IF(D376="","",IF(Parámetros!$B$6="Calendario",D376+1,WORKDAY.INTL(D376,1,Parámetros!$B$8,Parámetros!$D$12:$D$41)))</f>
        <v/>
      </c>
      <c r="G376" s="12"/>
      <c r="H376" s="6"/>
      <c r="I376" s="12"/>
      <c r="J376" s="6"/>
      <c r="K376" s="12"/>
    </row>
    <row r="377" customFormat="false" ht="15" hidden="false" customHeight="false" outlineLevel="0" collapsed="false">
      <c r="A377" s="6"/>
      <c r="B377" s="24" t="str">
        <f aca="false">IF(A377="","",IFERROR(INDEX(Empleados!$B$5:$B$64,MATCH(A377,Empleados!$A$5:$A$64,0)),"ID no encontrado"))</f>
        <v/>
      </c>
      <c r="C377" s="13"/>
      <c r="D377" s="13"/>
      <c r="E377" s="22" t="str">
        <f aca="false">IF(OR(C377="",D377=""),"",IF(Parámetros!$B$6="Calendario",D377-C377+1,NETWORKDAYS.INTL(C377,D377,Parámetros!$B$8,Parámetros!$D$12:$D$41)))</f>
        <v/>
      </c>
      <c r="F377" s="18" t="str">
        <f aca="false">IF(D377="","",IF(Parámetros!$B$6="Calendario",D377+1,WORKDAY.INTL(D377,1,Parámetros!$B$8,Parámetros!$D$12:$D$41)))</f>
        <v/>
      </c>
      <c r="G377" s="12"/>
      <c r="H377" s="6"/>
      <c r="I377" s="12"/>
      <c r="J377" s="6"/>
      <c r="K377" s="12"/>
    </row>
    <row r="378" customFormat="false" ht="15" hidden="false" customHeight="false" outlineLevel="0" collapsed="false">
      <c r="A378" s="6"/>
      <c r="B378" s="24" t="str">
        <f aca="false">IF(A378="","",IFERROR(INDEX(Empleados!$B$5:$B$64,MATCH(A378,Empleados!$A$5:$A$64,0)),"ID no encontrado"))</f>
        <v/>
      </c>
      <c r="C378" s="13"/>
      <c r="D378" s="13"/>
      <c r="E378" s="22" t="str">
        <f aca="false">IF(OR(C378="",D378=""),"",IF(Parámetros!$B$6="Calendario",D378-C378+1,NETWORKDAYS.INTL(C378,D378,Parámetros!$B$8,Parámetros!$D$12:$D$41)))</f>
        <v/>
      </c>
      <c r="F378" s="18" t="str">
        <f aca="false">IF(D378="","",IF(Parámetros!$B$6="Calendario",D378+1,WORKDAY.INTL(D378,1,Parámetros!$B$8,Parámetros!$D$12:$D$41)))</f>
        <v/>
      </c>
      <c r="G378" s="12"/>
      <c r="H378" s="6"/>
      <c r="I378" s="12"/>
      <c r="J378" s="6"/>
      <c r="K378" s="12"/>
    </row>
    <row r="379" customFormat="false" ht="15" hidden="false" customHeight="false" outlineLevel="0" collapsed="false">
      <c r="A379" s="6"/>
      <c r="B379" s="24" t="str">
        <f aca="false">IF(A379="","",IFERROR(INDEX(Empleados!$B$5:$B$64,MATCH(A379,Empleados!$A$5:$A$64,0)),"ID no encontrado"))</f>
        <v/>
      </c>
      <c r="C379" s="13"/>
      <c r="D379" s="13"/>
      <c r="E379" s="22" t="str">
        <f aca="false">IF(OR(C379="",D379=""),"",IF(Parámetros!$B$6="Calendario",D379-C379+1,NETWORKDAYS.INTL(C379,D379,Parámetros!$B$8,Parámetros!$D$12:$D$41)))</f>
        <v/>
      </c>
      <c r="F379" s="18" t="str">
        <f aca="false">IF(D379="","",IF(Parámetros!$B$6="Calendario",D379+1,WORKDAY.INTL(D379,1,Parámetros!$B$8,Parámetros!$D$12:$D$41)))</f>
        <v/>
      </c>
      <c r="G379" s="12"/>
      <c r="H379" s="6"/>
      <c r="I379" s="12"/>
      <c r="J379" s="6"/>
      <c r="K379" s="12"/>
    </row>
    <row r="380" customFormat="false" ht="15" hidden="false" customHeight="false" outlineLevel="0" collapsed="false">
      <c r="A380" s="6"/>
      <c r="B380" s="24" t="str">
        <f aca="false">IF(A380="","",IFERROR(INDEX(Empleados!$B$5:$B$64,MATCH(A380,Empleados!$A$5:$A$64,0)),"ID no encontrado"))</f>
        <v/>
      </c>
      <c r="C380" s="13"/>
      <c r="D380" s="13"/>
      <c r="E380" s="22" t="str">
        <f aca="false">IF(OR(C380="",D380=""),"",IF(Parámetros!$B$6="Calendario",D380-C380+1,NETWORKDAYS.INTL(C380,D380,Parámetros!$B$8,Parámetros!$D$12:$D$41)))</f>
        <v/>
      </c>
      <c r="F380" s="18" t="str">
        <f aca="false">IF(D380="","",IF(Parámetros!$B$6="Calendario",D380+1,WORKDAY.INTL(D380,1,Parámetros!$B$8,Parámetros!$D$12:$D$41)))</f>
        <v/>
      </c>
      <c r="G380" s="12"/>
      <c r="H380" s="6"/>
      <c r="I380" s="12"/>
      <c r="J380" s="6"/>
      <c r="K380" s="12"/>
    </row>
    <row r="381" customFormat="false" ht="15" hidden="false" customHeight="false" outlineLevel="0" collapsed="false">
      <c r="A381" s="6"/>
      <c r="B381" s="24" t="str">
        <f aca="false">IF(A381="","",IFERROR(INDEX(Empleados!$B$5:$B$64,MATCH(A381,Empleados!$A$5:$A$64,0)),"ID no encontrado"))</f>
        <v/>
      </c>
      <c r="C381" s="13"/>
      <c r="D381" s="13"/>
      <c r="E381" s="22" t="str">
        <f aca="false">IF(OR(C381="",D381=""),"",IF(Parámetros!$B$6="Calendario",D381-C381+1,NETWORKDAYS.INTL(C381,D381,Parámetros!$B$8,Parámetros!$D$12:$D$41)))</f>
        <v/>
      </c>
      <c r="F381" s="18" t="str">
        <f aca="false">IF(D381="","",IF(Parámetros!$B$6="Calendario",D381+1,WORKDAY.INTL(D381,1,Parámetros!$B$8,Parámetros!$D$12:$D$41)))</f>
        <v/>
      </c>
      <c r="G381" s="12"/>
      <c r="H381" s="6"/>
      <c r="I381" s="12"/>
      <c r="J381" s="6"/>
      <c r="K381" s="12"/>
    </row>
    <row r="382" customFormat="false" ht="15" hidden="false" customHeight="false" outlineLevel="0" collapsed="false">
      <c r="A382" s="6"/>
      <c r="B382" s="24" t="str">
        <f aca="false">IF(A382="","",IFERROR(INDEX(Empleados!$B$5:$B$64,MATCH(A382,Empleados!$A$5:$A$64,0)),"ID no encontrado"))</f>
        <v/>
      </c>
      <c r="C382" s="13"/>
      <c r="D382" s="13"/>
      <c r="E382" s="22" t="str">
        <f aca="false">IF(OR(C382="",D382=""),"",IF(Parámetros!$B$6="Calendario",D382-C382+1,NETWORKDAYS.INTL(C382,D382,Parámetros!$B$8,Parámetros!$D$12:$D$41)))</f>
        <v/>
      </c>
      <c r="F382" s="18" t="str">
        <f aca="false">IF(D382="","",IF(Parámetros!$B$6="Calendario",D382+1,WORKDAY.INTL(D382,1,Parámetros!$B$8,Parámetros!$D$12:$D$41)))</f>
        <v/>
      </c>
      <c r="G382" s="12"/>
      <c r="H382" s="6"/>
      <c r="I382" s="12"/>
      <c r="J382" s="6"/>
      <c r="K382" s="12"/>
    </row>
    <row r="383" customFormat="false" ht="15" hidden="false" customHeight="false" outlineLevel="0" collapsed="false">
      <c r="A383" s="6"/>
      <c r="B383" s="24" t="str">
        <f aca="false">IF(A383="","",IFERROR(INDEX(Empleados!$B$5:$B$64,MATCH(A383,Empleados!$A$5:$A$64,0)),"ID no encontrado"))</f>
        <v/>
      </c>
      <c r="C383" s="13"/>
      <c r="D383" s="13"/>
      <c r="E383" s="22" t="str">
        <f aca="false">IF(OR(C383="",D383=""),"",IF(Parámetros!$B$6="Calendario",D383-C383+1,NETWORKDAYS.INTL(C383,D383,Parámetros!$B$8,Parámetros!$D$12:$D$41)))</f>
        <v/>
      </c>
      <c r="F383" s="18" t="str">
        <f aca="false">IF(D383="","",IF(Parámetros!$B$6="Calendario",D383+1,WORKDAY.INTL(D383,1,Parámetros!$B$8,Parámetros!$D$12:$D$41)))</f>
        <v/>
      </c>
      <c r="G383" s="12"/>
      <c r="H383" s="6"/>
      <c r="I383" s="12"/>
      <c r="J383" s="6"/>
      <c r="K383" s="12"/>
    </row>
    <row r="384" customFormat="false" ht="15" hidden="false" customHeight="false" outlineLevel="0" collapsed="false">
      <c r="A384" s="6"/>
      <c r="B384" s="24" t="str">
        <f aca="false">IF(A384="","",IFERROR(INDEX(Empleados!$B$5:$B$64,MATCH(A384,Empleados!$A$5:$A$64,0)),"ID no encontrado"))</f>
        <v/>
      </c>
      <c r="C384" s="13"/>
      <c r="D384" s="13"/>
      <c r="E384" s="22" t="str">
        <f aca="false">IF(OR(C384="",D384=""),"",IF(Parámetros!$B$6="Calendario",D384-C384+1,NETWORKDAYS.INTL(C384,D384,Parámetros!$B$8,Parámetros!$D$12:$D$41)))</f>
        <v/>
      </c>
      <c r="F384" s="18" t="str">
        <f aca="false">IF(D384="","",IF(Parámetros!$B$6="Calendario",D384+1,WORKDAY.INTL(D384,1,Parámetros!$B$8,Parámetros!$D$12:$D$41)))</f>
        <v/>
      </c>
      <c r="G384" s="12"/>
      <c r="H384" s="6"/>
      <c r="I384" s="12"/>
      <c r="J384" s="6"/>
      <c r="K384" s="12"/>
    </row>
    <row r="385" customFormat="false" ht="15" hidden="false" customHeight="false" outlineLevel="0" collapsed="false">
      <c r="A385" s="6"/>
      <c r="B385" s="24" t="str">
        <f aca="false">IF(A385="","",IFERROR(INDEX(Empleados!$B$5:$B$64,MATCH(A385,Empleados!$A$5:$A$64,0)),"ID no encontrado"))</f>
        <v/>
      </c>
      <c r="C385" s="13"/>
      <c r="D385" s="13"/>
      <c r="E385" s="22" t="str">
        <f aca="false">IF(OR(C385="",D385=""),"",IF(Parámetros!$B$6="Calendario",D385-C385+1,NETWORKDAYS.INTL(C385,D385,Parámetros!$B$8,Parámetros!$D$12:$D$41)))</f>
        <v/>
      </c>
      <c r="F385" s="18" t="str">
        <f aca="false">IF(D385="","",IF(Parámetros!$B$6="Calendario",D385+1,WORKDAY.INTL(D385,1,Parámetros!$B$8,Parámetros!$D$12:$D$41)))</f>
        <v/>
      </c>
      <c r="G385" s="12"/>
      <c r="H385" s="6"/>
      <c r="I385" s="12"/>
      <c r="J385" s="6"/>
      <c r="K385" s="12"/>
    </row>
    <row r="386" customFormat="false" ht="15" hidden="false" customHeight="false" outlineLevel="0" collapsed="false">
      <c r="A386" s="6"/>
      <c r="B386" s="24" t="str">
        <f aca="false">IF(A386="","",IFERROR(INDEX(Empleados!$B$5:$B$64,MATCH(A386,Empleados!$A$5:$A$64,0)),"ID no encontrado"))</f>
        <v/>
      </c>
      <c r="C386" s="13"/>
      <c r="D386" s="13"/>
      <c r="E386" s="22" t="str">
        <f aca="false">IF(OR(C386="",D386=""),"",IF(Parámetros!$B$6="Calendario",D386-C386+1,NETWORKDAYS.INTL(C386,D386,Parámetros!$B$8,Parámetros!$D$12:$D$41)))</f>
        <v/>
      </c>
      <c r="F386" s="18" t="str">
        <f aca="false">IF(D386="","",IF(Parámetros!$B$6="Calendario",D386+1,WORKDAY.INTL(D386,1,Parámetros!$B$8,Parámetros!$D$12:$D$41)))</f>
        <v/>
      </c>
      <c r="G386" s="12"/>
      <c r="H386" s="6"/>
      <c r="I386" s="12"/>
      <c r="J386" s="6"/>
      <c r="K386" s="12"/>
    </row>
    <row r="387" customFormat="false" ht="15" hidden="false" customHeight="false" outlineLevel="0" collapsed="false">
      <c r="A387" s="6"/>
      <c r="B387" s="24" t="str">
        <f aca="false">IF(A387="","",IFERROR(INDEX(Empleados!$B$5:$B$64,MATCH(A387,Empleados!$A$5:$A$64,0)),"ID no encontrado"))</f>
        <v/>
      </c>
      <c r="C387" s="13"/>
      <c r="D387" s="13"/>
      <c r="E387" s="22" t="str">
        <f aca="false">IF(OR(C387="",D387=""),"",IF(Parámetros!$B$6="Calendario",D387-C387+1,NETWORKDAYS.INTL(C387,D387,Parámetros!$B$8,Parámetros!$D$12:$D$41)))</f>
        <v/>
      </c>
      <c r="F387" s="18" t="str">
        <f aca="false">IF(D387="","",IF(Parámetros!$B$6="Calendario",D387+1,WORKDAY.INTL(D387,1,Parámetros!$B$8,Parámetros!$D$12:$D$41)))</f>
        <v/>
      </c>
      <c r="G387" s="12"/>
      <c r="H387" s="6"/>
      <c r="I387" s="12"/>
      <c r="J387" s="6"/>
      <c r="K387" s="12"/>
    </row>
    <row r="388" customFormat="false" ht="15" hidden="false" customHeight="false" outlineLevel="0" collapsed="false">
      <c r="A388" s="6"/>
      <c r="B388" s="24" t="str">
        <f aca="false">IF(A388="","",IFERROR(INDEX(Empleados!$B$5:$B$64,MATCH(A388,Empleados!$A$5:$A$64,0)),"ID no encontrado"))</f>
        <v/>
      </c>
      <c r="C388" s="13"/>
      <c r="D388" s="13"/>
      <c r="E388" s="22" t="str">
        <f aca="false">IF(OR(C388="",D388=""),"",IF(Parámetros!$B$6="Calendario",D388-C388+1,NETWORKDAYS.INTL(C388,D388,Parámetros!$B$8,Parámetros!$D$12:$D$41)))</f>
        <v/>
      </c>
      <c r="F388" s="18" t="str">
        <f aca="false">IF(D388="","",IF(Parámetros!$B$6="Calendario",D388+1,WORKDAY.INTL(D388,1,Parámetros!$B$8,Parámetros!$D$12:$D$41)))</f>
        <v/>
      </c>
      <c r="G388" s="12"/>
      <c r="H388" s="6"/>
      <c r="I388" s="12"/>
      <c r="J388" s="6"/>
      <c r="K388" s="12"/>
    </row>
    <row r="389" customFormat="false" ht="15" hidden="false" customHeight="false" outlineLevel="0" collapsed="false">
      <c r="A389" s="6"/>
      <c r="B389" s="24" t="str">
        <f aca="false">IF(A389="","",IFERROR(INDEX(Empleados!$B$5:$B$64,MATCH(A389,Empleados!$A$5:$A$64,0)),"ID no encontrado"))</f>
        <v/>
      </c>
      <c r="C389" s="13"/>
      <c r="D389" s="13"/>
      <c r="E389" s="22" t="str">
        <f aca="false">IF(OR(C389="",D389=""),"",IF(Parámetros!$B$6="Calendario",D389-C389+1,NETWORKDAYS.INTL(C389,D389,Parámetros!$B$8,Parámetros!$D$12:$D$41)))</f>
        <v/>
      </c>
      <c r="F389" s="18" t="str">
        <f aca="false">IF(D389="","",IF(Parámetros!$B$6="Calendario",D389+1,WORKDAY.INTL(D389,1,Parámetros!$B$8,Parámetros!$D$12:$D$41)))</f>
        <v/>
      </c>
      <c r="G389" s="12"/>
      <c r="H389" s="6"/>
      <c r="I389" s="12"/>
      <c r="J389" s="6"/>
      <c r="K389" s="12"/>
    </row>
    <row r="390" customFormat="false" ht="15" hidden="false" customHeight="false" outlineLevel="0" collapsed="false">
      <c r="A390" s="6"/>
      <c r="B390" s="24" t="str">
        <f aca="false">IF(A390="","",IFERROR(INDEX(Empleados!$B$5:$B$64,MATCH(A390,Empleados!$A$5:$A$64,0)),"ID no encontrado"))</f>
        <v/>
      </c>
      <c r="C390" s="13"/>
      <c r="D390" s="13"/>
      <c r="E390" s="22" t="str">
        <f aca="false">IF(OR(C390="",D390=""),"",IF(Parámetros!$B$6="Calendario",D390-C390+1,NETWORKDAYS.INTL(C390,D390,Parámetros!$B$8,Parámetros!$D$12:$D$41)))</f>
        <v/>
      </c>
      <c r="F390" s="18" t="str">
        <f aca="false">IF(D390="","",IF(Parámetros!$B$6="Calendario",D390+1,WORKDAY.INTL(D390,1,Parámetros!$B$8,Parámetros!$D$12:$D$41)))</f>
        <v/>
      </c>
      <c r="G390" s="12"/>
      <c r="H390" s="6"/>
      <c r="I390" s="12"/>
      <c r="J390" s="6"/>
      <c r="K390" s="12"/>
    </row>
    <row r="391" customFormat="false" ht="15" hidden="false" customHeight="false" outlineLevel="0" collapsed="false">
      <c r="A391" s="6"/>
      <c r="B391" s="24" t="str">
        <f aca="false">IF(A391="","",IFERROR(INDEX(Empleados!$B$5:$B$64,MATCH(A391,Empleados!$A$5:$A$64,0)),"ID no encontrado"))</f>
        <v/>
      </c>
      <c r="C391" s="13"/>
      <c r="D391" s="13"/>
      <c r="E391" s="22" t="str">
        <f aca="false">IF(OR(C391="",D391=""),"",IF(Parámetros!$B$6="Calendario",D391-C391+1,NETWORKDAYS.INTL(C391,D391,Parámetros!$B$8,Parámetros!$D$12:$D$41)))</f>
        <v/>
      </c>
      <c r="F391" s="18" t="str">
        <f aca="false">IF(D391="","",IF(Parámetros!$B$6="Calendario",D391+1,WORKDAY.INTL(D391,1,Parámetros!$B$8,Parámetros!$D$12:$D$41)))</f>
        <v/>
      </c>
      <c r="G391" s="12"/>
      <c r="H391" s="6"/>
      <c r="I391" s="12"/>
      <c r="J391" s="6"/>
      <c r="K391" s="12"/>
    </row>
    <row r="392" customFormat="false" ht="15" hidden="false" customHeight="false" outlineLevel="0" collapsed="false">
      <c r="A392" s="6"/>
      <c r="B392" s="24" t="str">
        <f aca="false">IF(A392="","",IFERROR(INDEX(Empleados!$B$5:$B$64,MATCH(A392,Empleados!$A$5:$A$64,0)),"ID no encontrado"))</f>
        <v/>
      </c>
      <c r="C392" s="13"/>
      <c r="D392" s="13"/>
      <c r="E392" s="22" t="str">
        <f aca="false">IF(OR(C392="",D392=""),"",IF(Parámetros!$B$6="Calendario",D392-C392+1,NETWORKDAYS.INTL(C392,D392,Parámetros!$B$8,Parámetros!$D$12:$D$41)))</f>
        <v/>
      </c>
      <c r="F392" s="18" t="str">
        <f aca="false">IF(D392="","",IF(Parámetros!$B$6="Calendario",D392+1,WORKDAY.INTL(D392,1,Parámetros!$B$8,Parámetros!$D$12:$D$41)))</f>
        <v/>
      </c>
      <c r="G392" s="12"/>
      <c r="H392" s="6"/>
      <c r="I392" s="12"/>
      <c r="J392" s="6"/>
      <c r="K392" s="12"/>
    </row>
    <row r="393" customFormat="false" ht="15" hidden="false" customHeight="false" outlineLevel="0" collapsed="false">
      <c r="A393" s="6"/>
      <c r="B393" s="24" t="str">
        <f aca="false">IF(A393="","",IFERROR(INDEX(Empleados!$B$5:$B$64,MATCH(A393,Empleados!$A$5:$A$64,0)),"ID no encontrado"))</f>
        <v/>
      </c>
      <c r="C393" s="13"/>
      <c r="D393" s="13"/>
      <c r="E393" s="22" t="str">
        <f aca="false">IF(OR(C393="",D393=""),"",IF(Parámetros!$B$6="Calendario",D393-C393+1,NETWORKDAYS.INTL(C393,D393,Parámetros!$B$8,Parámetros!$D$12:$D$41)))</f>
        <v/>
      </c>
      <c r="F393" s="18" t="str">
        <f aca="false">IF(D393="","",IF(Parámetros!$B$6="Calendario",D393+1,WORKDAY.INTL(D393,1,Parámetros!$B$8,Parámetros!$D$12:$D$41)))</f>
        <v/>
      </c>
      <c r="G393" s="12"/>
      <c r="H393" s="6"/>
      <c r="I393" s="12"/>
      <c r="J393" s="6"/>
      <c r="K393" s="12"/>
    </row>
    <row r="394" customFormat="false" ht="15" hidden="false" customHeight="false" outlineLevel="0" collapsed="false">
      <c r="A394" s="6"/>
      <c r="B394" s="24" t="str">
        <f aca="false">IF(A394="","",IFERROR(INDEX(Empleados!$B$5:$B$64,MATCH(A394,Empleados!$A$5:$A$64,0)),"ID no encontrado"))</f>
        <v/>
      </c>
      <c r="C394" s="13"/>
      <c r="D394" s="13"/>
      <c r="E394" s="22" t="str">
        <f aca="false">IF(OR(C394="",D394=""),"",IF(Parámetros!$B$6="Calendario",D394-C394+1,NETWORKDAYS.INTL(C394,D394,Parámetros!$B$8,Parámetros!$D$12:$D$41)))</f>
        <v/>
      </c>
      <c r="F394" s="18" t="str">
        <f aca="false">IF(D394="","",IF(Parámetros!$B$6="Calendario",D394+1,WORKDAY.INTL(D394,1,Parámetros!$B$8,Parámetros!$D$12:$D$41)))</f>
        <v/>
      </c>
      <c r="G394" s="12"/>
      <c r="H394" s="6"/>
      <c r="I394" s="12"/>
      <c r="J394" s="6"/>
      <c r="K394" s="12"/>
    </row>
    <row r="395" customFormat="false" ht="15" hidden="false" customHeight="false" outlineLevel="0" collapsed="false">
      <c r="A395" s="6"/>
      <c r="B395" s="24" t="str">
        <f aca="false">IF(A395="","",IFERROR(INDEX(Empleados!$B$5:$B$64,MATCH(A395,Empleados!$A$5:$A$64,0)),"ID no encontrado"))</f>
        <v/>
      </c>
      <c r="C395" s="13"/>
      <c r="D395" s="13"/>
      <c r="E395" s="22" t="str">
        <f aca="false">IF(OR(C395="",D395=""),"",IF(Parámetros!$B$6="Calendario",D395-C395+1,NETWORKDAYS.INTL(C395,D395,Parámetros!$B$8,Parámetros!$D$12:$D$41)))</f>
        <v/>
      </c>
      <c r="F395" s="18" t="str">
        <f aca="false">IF(D395="","",IF(Parámetros!$B$6="Calendario",D395+1,WORKDAY.INTL(D395,1,Parámetros!$B$8,Parámetros!$D$12:$D$41)))</f>
        <v/>
      </c>
      <c r="G395" s="12"/>
      <c r="H395" s="6"/>
      <c r="I395" s="12"/>
      <c r="J395" s="6"/>
      <c r="K395" s="12"/>
    </row>
    <row r="396" customFormat="false" ht="15" hidden="false" customHeight="false" outlineLevel="0" collapsed="false">
      <c r="A396" s="6"/>
      <c r="B396" s="24" t="str">
        <f aca="false">IF(A396="","",IFERROR(INDEX(Empleados!$B$5:$B$64,MATCH(A396,Empleados!$A$5:$A$64,0)),"ID no encontrado"))</f>
        <v/>
      </c>
      <c r="C396" s="13"/>
      <c r="D396" s="13"/>
      <c r="E396" s="22" t="str">
        <f aca="false">IF(OR(C396="",D396=""),"",IF(Parámetros!$B$6="Calendario",D396-C396+1,NETWORKDAYS.INTL(C396,D396,Parámetros!$B$8,Parámetros!$D$12:$D$41)))</f>
        <v/>
      </c>
      <c r="F396" s="18" t="str">
        <f aca="false">IF(D396="","",IF(Parámetros!$B$6="Calendario",D396+1,WORKDAY.INTL(D396,1,Parámetros!$B$8,Parámetros!$D$12:$D$41)))</f>
        <v/>
      </c>
      <c r="G396" s="12"/>
      <c r="H396" s="6"/>
      <c r="I396" s="12"/>
      <c r="J396" s="6"/>
      <c r="K396" s="12"/>
    </row>
    <row r="397" customFormat="false" ht="15" hidden="false" customHeight="false" outlineLevel="0" collapsed="false">
      <c r="A397" s="6"/>
      <c r="B397" s="24" t="str">
        <f aca="false">IF(A397="","",IFERROR(INDEX(Empleados!$B$5:$B$64,MATCH(A397,Empleados!$A$5:$A$64,0)),"ID no encontrado"))</f>
        <v/>
      </c>
      <c r="C397" s="13"/>
      <c r="D397" s="13"/>
      <c r="E397" s="22" t="str">
        <f aca="false">IF(OR(C397="",D397=""),"",IF(Parámetros!$B$6="Calendario",D397-C397+1,NETWORKDAYS.INTL(C397,D397,Parámetros!$B$8,Parámetros!$D$12:$D$41)))</f>
        <v/>
      </c>
      <c r="F397" s="18" t="str">
        <f aca="false">IF(D397="","",IF(Parámetros!$B$6="Calendario",D397+1,WORKDAY.INTL(D397,1,Parámetros!$B$8,Parámetros!$D$12:$D$41)))</f>
        <v/>
      </c>
      <c r="G397" s="12"/>
      <c r="H397" s="6"/>
      <c r="I397" s="12"/>
      <c r="J397" s="6"/>
      <c r="K397" s="12"/>
    </row>
    <row r="398" customFormat="false" ht="15" hidden="false" customHeight="false" outlineLevel="0" collapsed="false">
      <c r="A398" s="6"/>
      <c r="B398" s="24" t="str">
        <f aca="false">IF(A398="","",IFERROR(INDEX(Empleados!$B$5:$B$64,MATCH(A398,Empleados!$A$5:$A$64,0)),"ID no encontrado"))</f>
        <v/>
      </c>
      <c r="C398" s="13"/>
      <c r="D398" s="13"/>
      <c r="E398" s="22" t="str">
        <f aca="false">IF(OR(C398="",D398=""),"",IF(Parámetros!$B$6="Calendario",D398-C398+1,NETWORKDAYS.INTL(C398,D398,Parámetros!$B$8,Parámetros!$D$12:$D$41)))</f>
        <v/>
      </c>
      <c r="F398" s="18" t="str">
        <f aca="false">IF(D398="","",IF(Parámetros!$B$6="Calendario",D398+1,WORKDAY.INTL(D398,1,Parámetros!$B$8,Parámetros!$D$12:$D$41)))</f>
        <v/>
      </c>
      <c r="G398" s="12"/>
      <c r="H398" s="6"/>
      <c r="I398" s="12"/>
      <c r="J398" s="6"/>
      <c r="K398" s="12"/>
    </row>
    <row r="399" customFormat="false" ht="15" hidden="false" customHeight="false" outlineLevel="0" collapsed="false">
      <c r="A399" s="6"/>
      <c r="B399" s="24" t="str">
        <f aca="false">IF(A399="","",IFERROR(INDEX(Empleados!$B$5:$B$64,MATCH(A399,Empleados!$A$5:$A$64,0)),"ID no encontrado"))</f>
        <v/>
      </c>
      <c r="C399" s="13"/>
      <c r="D399" s="13"/>
      <c r="E399" s="22" t="str">
        <f aca="false">IF(OR(C399="",D399=""),"",IF(Parámetros!$B$6="Calendario",D399-C399+1,NETWORKDAYS.INTL(C399,D399,Parámetros!$B$8,Parámetros!$D$12:$D$41)))</f>
        <v/>
      </c>
      <c r="F399" s="18" t="str">
        <f aca="false">IF(D399="","",IF(Parámetros!$B$6="Calendario",D399+1,WORKDAY.INTL(D399,1,Parámetros!$B$8,Parámetros!$D$12:$D$41)))</f>
        <v/>
      </c>
      <c r="G399" s="12"/>
      <c r="H399" s="6"/>
      <c r="I399" s="12"/>
      <c r="J399" s="6"/>
      <c r="K399" s="12"/>
    </row>
    <row r="400" customFormat="false" ht="15" hidden="false" customHeight="false" outlineLevel="0" collapsed="false">
      <c r="A400" s="6"/>
      <c r="B400" s="24" t="str">
        <f aca="false">IF(A400="","",IFERROR(INDEX(Empleados!$B$5:$B$64,MATCH(A400,Empleados!$A$5:$A$64,0)),"ID no encontrado"))</f>
        <v/>
      </c>
      <c r="C400" s="13"/>
      <c r="D400" s="13"/>
      <c r="E400" s="22" t="str">
        <f aca="false">IF(OR(C400="",D400=""),"",IF(Parámetros!$B$6="Calendario",D400-C400+1,NETWORKDAYS.INTL(C400,D400,Parámetros!$B$8,Parámetros!$D$12:$D$41)))</f>
        <v/>
      </c>
      <c r="F400" s="18" t="str">
        <f aca="false">IF(D400="","",IF(Parámetros!$B$6="Calendario",D400+1,WORKDAY.INTL(D400,1,Parámetros!$B$8,Parámetros!$D$12:$D$41)))</f>
        <v/>
      </c>
      <c r="G400" s="12"/>
      <c r="H400" s="6"/>
      <c r="I400" s="12"/>
      <c r="J400" s="6"/>
      <c r="K400" s="12"/>
    </row>
    <row r="401" customFormat="false" ht="15" hidden="false" customHeight="false" outlineLevel="0" collapsed="false">
      <c r="A401" s="6"/>
      <c r="B401" s="24" t="str">
        <f aca="false">IF(A401="","",IFERROR(INDEX(Empleados!$B$5:$B$64,MATCH(A401,Empleados!$A$5:$A$64,0)),"ID no encontrado"))</f>
        <v/>
      </c>
      <c r="C401" s="13"/>
      <c r="D401" s="13"/>
      <c r="E401" s="22" t="str">
        <f aca="false">IF(OR(C401="",D401=""),"",IF(Parámetros!$B$6="Calendario",D401-C401+1,NETWORKDAYS.INTL(C401,D401,Parámetros!$B$8,Parámetros!$D$12:$D$41)))</f>
        <v/>
      </c>
      <c r="F401" s="18" t="str">
        <f aca="false">IF(D401="","",IF(Parámetros!$B$6="Calendario",D401+1,WORKDAY.INTL(D401,1,Parámetros!$B$8,Parámetros!$D$12:$D$41)))</f>
        <v/>
      </c>
      <c r="G401" s="12"/>
      <c r="H401" s="6"/>
      <c r="I401" s="12"/>
      <c r="J401" s="6"/>
      <c r="K401" s="12"/>
    </row>
    <row r="402" customFormat="false" ht="15" hidden="false" customHeight="false" outlineLevel="0" collapsed="false">
      <c r="A402" s="6"/>
      <c r="B402" s="24" t="str">
        <f aca="false">IF(A402="","",IFERROR(INDEX(Empleados!$B$5:$B$64,MATCH(A402,Empleados!$A$5:$A$64,0)),"ID no encontrado"))</f>
        <v/>
      </c>
      <c r="C402" s="13"/>
      <c r="D402" s="13"/>
      <c r="E402" s="22" t="str">
        <f aca="false">IF(OR(C402="",D402=""),"",IF(Parámetros!$B$6="Calendario",D402-C402+1,NETWORKDAYS.INTL(C402,D402,Parámetros!$B$8,Parámetros!$D$12:$D$41)))</f>
        <v/>
      </c>
      <c r="F402" s="18" t="str">
        <f aca="false">IF(D402="","",IF(Parámetros!$B$6="Calendario",D402+1,WORKDAY.INTL(D402,1,Parámetros!$B$8,Parámetros!$D$12:$D$41)))</f>
        <v/>
      </c>
      <c r="G402" s="12"/>
      <c r="H402" s="6"/>
      <c r="I402" s="12"/>
      <c r="J402" s="6"/>
      <c r="K402" s="12"/>
    </row>
    <row r="403" customFormat="false" ht="15" hidden="false" customHeight="false" outlineLevel="0" collapsed="false">
      <c r="A403" s="6"/>
      <c r="B403" s="24" t="str">
        <f aca="false">IF(A403="","",IFERROR(INDEX(Empleados!$B$5:$B$64,MATCH(A403,Empleados!$A$5:$A$64,0)),"ID no encontrado"))</f>
        <v/>
      </c>
      <c r="C403" s="13"/>
      <c r="D403" s="13"/>
      <c r="E403" s="22" t="str">
        <f aca="false">IF(OR(C403="",D403=""),"",IF(Parámetros!$B$6="Calendario",D403-C403+1,NETWORKDAYS.INTL(C403,D403,Parámetros!$B$8,Parámetros!$D$12:$D$41)))</f>
        <v/>
      </c>
      <c r="F403" s="18" t="str">
        <f aca="false">IF(D403="","",IF(Parámetros!$B$6="Calendario",D403+1,WORKDAY.INTL(D403,1,Parámetros!$B$8,Parámetros!$D$12:$D$41)))</f>
        <v/>
      </c>
      <c r="G403" s="12"/>
      <c r="H403" s="6"/>
      <c r="I403" s="12"/>
      <c r="J403" s="6"/>
      <c r="K403" s="12"/>
    </row>
    <row r="404" customFormat="false" ht="15" hidden="false" customHeight="false" outlineLevel="0" collapsed="false">
      <c r="A404" s="6"/>
      <c r="B404" s="24" t="str">
        <f aca="false">IF(A404="","",IFERROR(INDEX(Empleados!$B$5:$B$64,MATCH(A404,Empleados!$A$5:$A$64,0)),"ID no encontrado"))</f>
        <v/>
      </c>
      <c r="C404" s="13"/>
      <c r="D404" s="13"/>
      <c r="E404" s="22" t="str">
        <f aca="false">IF(OR(C404="",D404=""),"",IF(Parámetros!$B$6="Calendario",D404-C404+1,NETWORKDAYS.INTL(C404,D404,Parámetros!$B$8,Parámetros!$D$12:$D$41)))</f>
        <v/>
      </c>
      <c r="F404" s="18" t="str">
        <f aca="false">IF(D404="","",IF(Parámetros!$B$6="Calendario",D404+1,WORKDAY.INTL(D404,1,Parámetros!$B$8,Parámetros!$D$12:$D$41)))</f>
        <v/>
      </c>
      <c r="G404" s="12"/>
      <c r="H404" s="6"/>
      <c r="I404" s="12"/>
      <c r="J404" s="6"/>
      <c r="K404" s="12"/>
    </row>
    <row r="405" customFormat="false" ht="15" hidden="false" customHeight="false" outlineLevel="0" collapsed="false">
      <c r="A405" s="6"/>
      <c r="B405" s="24" t="str">
        <f aca="false">IF(A405="","",IFERROR(INDEX(Empleados!$B$5:$B$64,MATCH(A405,Empleados!$A$5:$A$64,0)),"ID no encontrado"))</f>
        <v/>
      </c>
      <c r="C405" s="13"/>
      <c r="D405" s="13"/>
      <c r="E405" s="22" t="str">
        <f aca="false">IF(OR(C405="",D405=""),"",IF(Parámetros!$B$6="Calendario",D405-C405+1,NETWORKDAYS.INTL(C405,D405,Parámetros!$B$8,Parámetros!$D$12:$D$41)))</f>
        <v/>
      </c>
      <c r="F405" s="18" t="str">
        <f aca="false">IF(D405="","",IF(Parámetros!$B$6="Calendario",D405+1,WORKDAY.INTL(D405,1,Parámetros!$B$8,Parámetros!$D$12:$D$41)))</f>
        <v/>
      </c>
      <c r="G405" s="12"/>
      <c r="H405" s="6"/>
      <c r="I405" s="12"/>
      <c r="J405" s="6"/>
      <c r="K405" s="12"/>
    </row>
    <row r="406" customFormat="false" ht="15" hidden="false" customHeight="false" outlineLevel="0" collapsed="false">
      <c r="A406" s="6"/>
      <c r="B406" s="24" t="str">
        <f aca="false">IF(A406="","",IFERROR(INDEX(Empleados!$B$5:$B$64,MATCH(A406,Empleados!$A$5:$A$64,0)),"ID no encontrado"))</f>
        <v/>
      </c>
      <c r="C406" s="13"/>
      <c r="D406" s="13"/>
      <c r="E406" s="22" t="str">
        <f aca="false">IF(OR(C406="",D406=""),"",IF(Parámetros!$B$6="Calendario",D406-C406+1,NETWORKDAYS.INTL(C406,D406,Parámetros!$B$8,Parámetros!$D$12:$D$41)))</f>
        <v/>
      </c>
      <c r="F406" s="18" t="str">
        <f aca="false">IF(D406="","",IF(Parámetros!$B$6="Calendario",D406+1,WORKDAY.INTL(D406,1,Parámetros!$B$8,Parámetros!$D$12:$D$41)))</f>
        <v/>
      </c>
      <c r="G406" s="12"/>
      <c r="H406" s="6"/>
      <c r="I406" s="12"/>
      <c r="J406" s="6"/>
      <c r="K406" s="12"/>
    </row>
    <row r="407" customFormat="false" ht="15" hidden="false" customHeight="false" outlineLevel="0" collapsed="false">
      <c r="A407" s="6"/>
      <c r="B407" s="24" t="str">
        <f aca="false">IF(A407="","",IFERROR(INDEX(Empleados!$B$5:$B$64,MATCH(A407,Empleados!$A$5:$A$64,0)),"ID no encontrado"))</f>
        <v/>
      </c>
      <c r="C407" s="13"/>
      <c r="D407" s="13"/>
      <c r="E407" s="22" t="str">
        <f aca="false">IF(OR(C407="",D407=""),"",IF(Parámetros!$B$6="Calendario",D407-C407+1,NETWORKDAYS.INTL(C407,D407,Parámetros!$B$8,Parámetros!$D$12:$D$41)))</f>
        <v/>
      </c>
      <c r="F407" s="18" t="str">
        <f aca="false">IF(D407="","",IF(Parámetros!$B$6="Calendario",D407+1,WORKDAY.INTL(D407,1,Parámetros!$B$8,Parámetros!$D$12:$D$41)))</f>
        <v/>
      </c>
      <c r="G407" s="12"/>
      <c r="H407" s="6"/>
      <c r="I407" s="12"/>
      <c r="J407" s="6"/>
      <c r="K407" s="12"/>
    </row>
    <row r="408" customFormat="false" ht="15" hidden="false" customHeight="false" outlineLevel="0" collapsed="false">
      <c r="A408" s="6"/>
      <c r="B408" s="24" t="str">
        <f aca="false">IF(A408="","",IFERROR(INDEX(Empleados!$B$5:$B$64,MATCH(A408,Empleados!$A$5:$A$64,0)),"ID no encontrado"))</f>
        <v/>
      </c>
      <c r="C408" s="13"/>
      <c r="D408" s="13"/>
      <c r="E408" s="22" t="str">
        <f aca="false">IF(OR(C408="",D408=""),"",IF(Parámetros!$B$6="Calendario",D408-C408+1,NETWORKDAYS.INTL(C408,D408,Parámetros!$B$8,Parámetros!$D$12:$D$41)))</f>
        <v/>
      </c>
      <c r="F408" s="18" t="str">
        <f aca="false">IF(D408="","",IF(Parámetros!$B$6="Calendario",D408+1,WORKDAY.INTL(D408,1,Parámetros!$B$8,Parámetros!$D$12:$D$41)))</f>
        <v/>
      </c>
      <c r="G408" s="12"/>
      <c r="H408" s="6"/>
      <c r="I408" s="12"/>
      <c r="J408" s="6"/>
      <c r="K408" s="12"/>
    </row>
    <row r="409" customFormat="false" ht="15" hidden="false" customHeight="false" outlineLevel="0" collapsed="false">
      <c r="A409" s="6"/>
      <c r="B409" s="24" t="str">
        <f aca="false">IF(A409="","",IFERROR(INDEX(Empleados!$B$5:$B$64,MATCH(A409,Empleados!$A$5:$A$64,0)),"ID no encontrado"))</f>
        <v/>
      </c>
      <c r="C409" s="13"/>
      <c r="D409" s="13"/>
      <c r="E409" s="22" t="str">
        <f aca="false">IF(OR(C409="",D409=""),"",IF(Parámetros!$B$6="Calendario",D409-C409+1,NETWORKDAYS.INTL(C409,D409,Parámetros!$B$8,Parámetros!$D$12:$D$41)))</f>
        <v/>
      </c>
      <c r="F409" s="18" t="str">
        <f aca="false">IF(D409="","",IF(Parámetros!$B$6="Calendario",D409+1,WORKDAY.INTL(D409,1,Parámetros!$B$8,Parámetros!$D$12:$D$41)))</f>
        <v/>
      </c>
      <c r="G409" s="12"/>
      <c r="H409" s="6"/>
      <c r="I409" s="12"/>
      <c r="J409" s="6"/>
      <c r="K409" s="12"/>
    </row>
    <row r="410" customFormat="false" ht="15" hidden="false" customHeight="false" outlineLevel="0" collapsed="false">
      <c r="A410" s="6"/>
      <c r="B410" s="24" t="str">
        <f aca="false">IF(A410="","",IFERROR(INDEX(Empleados!$B$5:$B$64,MATCH(A410,Empleados!$A$5:$A$64,0)),"ID no encontrado"))</f>
        <v/>
      </c>
      <c r="C410" s="13"/>
      <c r="D410" s="13"/>
      <c r="E410" s="22" t="str">
        <f aca="false">IF(OR(C410="",D410=""),"",IF(Parámetros!$B$6="Calendario",D410-C410+1,NETWORKDAYS.INTL(C410,D410,Parámetros!$B$8,Parámetros!$D$12:$D$41)))</f>
        <v/>
      </c>
      <c r="F410" s="18" t="str">
        <f aca="false">IF(D410="","",IF(Parámetros!$B$6="Calendario",D410+1,WORKDAY.INTL(D410,1,Parámetros!$B$8,Parámetros!$D$12:$D$41)))</f>
        <v/>
      </c>
      <c r="G410" s="12"/>
      <c r="H410" s="6"/>
      <c r="I410" s="12"/>
      <c r="J410" s="6"/>
      <c r="K410" s="12"/>
    </row>
    <row r="411" customFormat="false" ht="15" hidden="false" customHeight="false" outlineLevel="0" collapsed="false">
      <c r="A411" s="6"/>
      <c r="B411" s="24" t="str">
        <f aca="false">IF(A411="","",IFERROR(INDEX(Empleados!$B$5:$B$64,MATCH(A411,Empleados!$A$5:$A$64,0)),"ID no encontrado"))</f>
        <v/>
      </c>
      <c r="C411" s="13"/>
      <c r="D411" s="13"/>
      <c r="E411" s="22" t="str">
        <f aca="false">IF(OR(C411="",D411=""),"",IF(Parámetros!$B$6="Calendario",D411-C411+1,NETWORKDAYS.INTL(C411,D411,Parámetros!$B$8,Parámetros!$D$12:$D$41)))</f>
        <v/>
      </c>
      <c r="F411" s="18" t="str">
        <f aca="false">IF(D411="","",IF(Parámetros!$B$6="Calendario",D411+1,WORKDAY.INTL(D411,1,Parámetros!$B$8,Parámetros!$D$12:$D$41)))</f>
        <v/>
      </c>
      <c r="G411" s="12"/>
      <c r="H411" s="6"/>
      <c r="I411" s="12"/>
      <c r="J411" s="6"/>
      <c r="K411" s="12"/>
    </row>
    <row r="412" customFormat="false" ht="15" hidden="false" customHeight="false" outlineLevel="0" collapsed="false">
      <c r="A412" s="6"/>
      <c r="B412" s="24" t="str">
        <f aca="false">IF(A412="","",IFERROR(INDEX(Empleados!$B$5:$B$64,MATCH(A412,Empleados!$A$5:$A$64,0)),"ID no encontrado"))</f>
        <v/>
      </c>
      <c r="C412" s="13"/>
      <c r="D412" s="13"/>
      <c r="E412" s="22" t="str">
        <f aca="false">IF(OR(C412="",D412=""),"",IF(Parámetros!$B$6="Calendario",D412-C412+1,NETWORKDAYS.INTL(C412,D412,Parámetros!$B$8,Parámetros!$D$12:$D$41)))</f>
        <v/>
      </c>
      <c r="F412" s="18" t="str">
        <f aca="false">IF(D412="","",IF(Parámetros!$B$6="Calendario",D412+1,WORKDAY.INTL(D412,1,Parámetros!$B$8,Parámetros!$D$12:$D$41)))</f>
        <v/>
      </c>
      <c r="G412" s="12"/>
      <c r="H412" s="6"/>
      <c r="I412" s="12"/>
      <c r="J412" s="6"/>
      <c r="K412" s="12"/>
    </row>
    <row r="413" customFormat="false" ht="15" hidden="false" customHeight="false" outlineLevel="0" collapsed="false">
      <c r="A413" s="6"/>
      <c r="B413" s="24" t="str">
        <f aca="false">IF(A413="","",IFERROR(INDEX(Empleados!$B$5:$B$64,MATCH(A413,Empleados!$A$5:$A$64,0)),"ID no encontrado"))</f>
        <v/>
      </c>
      <c r="C413" s="13"/>
      <c r="D413" s="13"/>
      <c r="E413" s="22" t="str">
        <f aca="false">IF(OR(C413="",D413=""),"",IF(Parámetros!$B$6="Calendario",D413-C413+1,NETWORKDAYS.INTL(C413,D413,Parámetros!$B$8,Parámetros!$D$12:$D$41)))</f>
        <v/>
      </c>
      <c r="F413" s="18" t="str">
        <f aca="false">IF(D413="","",IF(Parámetros!$B$6="Calendario",D413+1,WORKDAY.INTL(D413,1,Parámetros!$B$8,Parámetros!$D$12:$D$41)))</f>
        <v/>
      </c>
      <c r="G413" s="12"/>
      <c r="H413" s="6"/>
      <c r="I413" s="12"/>
      <c r="J413" s="6"/>
      <c r="K413" s="12"/>
    </row>
    <row r="414" customFormat="false" ht="15" hidden="false" customHeight="false" outlineLevel="0" collapsed="false">
      <c r="A414" s="6"/>
      <c r="B414" s="24" t="str">
        <f aca="false">IF(A414="","",IFERROR(INDEX(Empleados!$B$5:$B$64,MATCH(A414,Empleados!$A$5:$A$64,0)),"ID no encontrado"))</f>
        <v/>
      </c>
      <c r="C414" s="13"/>
      <c r="D414" s="13"/>
      <c r="E414" s="22" t="str">
        <f aca="false">IF(OR(C414="",D414=""),"",IF(Parámetros!$B$6="Calendario",D414-C414+1,NETWORKDAYS.INTL(C414,D414,Parámetros!$B$8,Parámetros!$D$12:$D$41)))</f>
        <v/>
      </c>
      <c r="F414" s="18" t="str">
        <f aca="false">IF(D414="","",IF(Parámetros!$B$6="Calendario",D414+1,WORKDAY.INTL(D414,1,Parámetros!$B$8,Parámetros!$D$12:$D$41)))</f>
        <v/>
      </c>
      <c r="G414" s="12"/>
      <c r="H414" s="6"/>
      <c r="I414" s="12"/>
      <c r="J414" s="6"/>
      <c r="K414" s="12"/>
    </row>
    <row r="415" customFormat="false" ht="15" hidden="false" customHeight="false" outlineLevel="0" collapsed="false">
      <c r="A415" s="6"/>
      <c r="B415" s="24" t="str">
        <f aca="false">IF(A415="","",IFERROR(INDEX(Empleados!$B$5:$B$64,MATCH(A415,Empleados!$A$5:$A$64,0)),"ID no encontrado"))</f>
        <v/>
      </c>
      <c r="C415" s="13"/>
      <c r="D415" s="13"/>
      <c r="E415" s="22" t="str">
        <f aca="false">IF(OR(C415="",D415=""),"",IF(Parámetros!$B$6="Calendario",D415-C415+1,NETWORKDAYS.INTL(C415,D415,Parámetros!$B$8,Parámetros!$D$12:$D$41)))</f>
        <v/>
      </c>
      <c r="F415" s="18" t="str">
        <f aca="false">IF(D415="","",IF(Parámetros!$B$6="Calendario",D415+1,WORKDAY.INTL(D415,1,Parámetros!$B$8,Parámetros!$D$12:$D$41)))</f>
        <v/>
      </c>
      <c r="G415" s="12"/>
      <c r="H415" s="6"/>
      <c r="I415" s="12"/>
      <c r="J415" s="6"/>
      <c r="K415" s="12"/>
    </row>
    <row r="416" customFormat="false" ht="15" hidden="false" customHeight="false" outlineLevel="0" collapsed="false">
      <c r="A416" s="6"/>
      <c r="B416" s="24" t="str">
        <f aca="false">IF(A416="","",IFERROR(INDEX(Empleados!$B$5:$B$64,MATCH(A416,Empleados!$A$5:$A$64,0)),"ID no encontrado"))</f>
        <v/>
      </c>
      <c r="C416" s="13"/>
      <c r="D416" s="13"/>
      <c r="E416" s="22" t="str">
        <f aca="false">IF(OR(C416="",D416=""),"",IF(Parámetros!$B$6="Calendario",D416-C416+1,NETWORKDAYS.INTL(C416,D416,Parámetros!$B$8,Parámetros!$D$12:$D$41)))</f>
        <v/>
      </c>
      <c r="F416" s="18" t="str">
        <f aca="false">IF(D416="","",IF(Parámetros!$B$6="Calendario",D416+1,WORKDAY.INTL(D416,1,Parámetros!$B$8,Parámetros!$D$12:$D$41)))</f>
        <v/>
      </c>
      <c r="G416" s="12"/>
      <c r="H416" s="6"/>
      <c r="I416" s="12"/>
      <c r="J416" s="6"/>
      <c r="K416" s="12"/>
    </row>
    <row r="417" customFormat="false" ht="15" hidden="false" customHeight="false" outlineLevel="0" collapsed="false">
      <c r="A417" s="6"/>
      <c r="B417" s="24" t="str">
        <f aca="false">IF(A417="","",IFERROR(INDEX(Empleados!$B$5:$B$64,MATCH(A417,Empleados!$A$5:$A$64,0)),"ID no encontrado"))</f>
        <v/>
      </c>
      <c r="C417" s="13"/>
      <c r="D417" s="13"/>
      <c r="E417" s="22" t="str">
        <f aca="false">IF(OR(C417="",D417=""),"",IF(Parámetros!$B$6="Calendario",D417-C417+1,NETWORKDAYS.INTL(C417,D417,Parámetros!$B$8,Parámetros!$D$12:$D$41)))</f>
        <v/>
      </c>
      <c r="F417" s="18" t="str">
        <f aca="false">IF(D417="","",IF(Parámetros!$B$6="Calendario",D417+1,WORKDAY.INTL(D417,1,Parámetros!$B$8,Parámetros!$D$12:$D$41)))</f>
        <v/>
      </c>
      <c r="G417" s="12"/>
      <c r="H417" s="6"/>
      <c r="I417" s="12"/>
      <c r="J417" s="6"/>
      <c r="K417" s="12"/>
    </row>
    <row r="418" customFormat="false" ht="15" hidden="false" customHeight="false" outlineLevel="0" collapsed="false">
      <c r="A418" s="6"/>
      <c r="B418" s="24" t="str">
        <f aca="false">IF(A418="","",IFERROR(INDEX(Empleados!$B$5:$B$64,MATCH(A418,Empleados!$A$5:$A$64,0)),"ID no encontrado"))</f>
        <v/>
      </c>
      <c r="C418" s="13"/>
      <c r="D418" s="13"/>
      <c r="E418" s="22" t="str">
        <f aca="false">IF(OR(C418="",D418=""),"",IF(Parámetros!$B$6="Calendario",D418-C418+1,NETWORKDAYS.INTL(C418,D418,Parámetros!$B$8,Parámetros!$D$12:$D$41)))</f>
        <v/>
      </c>
      <c r="F418" s="18" t="str">
        <f aca="false">IF(D418="","",IF(Parámetros!$B$6="Calendario",D418+1,WORKDAY.INTL(D418,1,Parámetros!$B$8,Parámetros!$D$12:$D$41)))</f>
        <v/>
      </c>
      <c r="G418" s="12"/>
      <c r="H418" s="6"/>
      <c r="I418" s="12"/>
      <c r="J418" s="6"/>
      <c r="K418" s="12"/>
    </row>
    <row r="419" customFormat="false" ht="15" hidden="false" customHeight="false" outlineLevel="0" collapsed="false">
      <c r="A419" s="6"/>
      <c r="B419" s="24" t="str">
        <f aca="false">IF(A419="","",IFERROR(INDEX(Empleados!$B$5:$B$64,MATCH(A419,Empleados!$A$5:$A$64,0)),"ID no encontrado"))</f>
        <v/>
      </c>
      <c r="C419" s="13"/>
      <c r="D419" s="13"/>
      <c r="E419" s="22" t="str">
        <f aca="false">IF(OR(C419="",D419=""),"",IF(Parámetros!$B$6="Calendario",D419-C419+1,NETWORKDAYS.INTL(C419,D419,Parámetros!$B$8,Parámetros!$D$12:$D$41)))</f>
        <v/>
      </c>
      <c r="F419" s="18" t="str">
        <f aca="false">IF(D419="","",IF(Parámetros!$B$6="Calendario",D419+1,WORKDAY.INTL(D419,1,Parámetros!$B$8,Parámetros!$D$12:$D$41)))</f>
        <v/>
      </c>
      <c r="G419" s="12"/>
      <c r="H419" s="6"/>
      <c r="I419" s="12"/>
      <c r="J419" s="6"/>
      <c r="K419" s="12"/>
    </row>
    <row r="420" customFormat="false" ht="15" hidden="false" customHeight="false" outlineLevel="0" collapsed="false">
      <c r="A420" s="6"/>
      <c r="B420" s="24" t="str">
        <f aca="false">IF(A420="","",IFERROR(INDEX(Empleados!$B$5:$B$64,MATCH(A420,Empleados!$A$5:$A$64,0)),"ID no encontrado"))</f>
        <v/>
      </c>
      <c r="C420" s="13"/>
      <c r="D420" s="13"/>
      <c r="E420" s="22" t="str">
        <f aca="false">IF(OR(C420="",D420=""),"",IF(Parámetros!$B$6="Calendario",D420-C420+1,NETWORKDAYS.INTL(C420,D420,Parámetros!$B$8,Parámetros!$D$12:$D$41)))</f>
        <v/>
      </c>
      <c r="F420" s="18" t="str">
        <f aca="false">IF(D420="","",IF(Parámetros!$B$6="Calendario",D420+1,WORKDAY.INTL(D420,1,Parámetros!$B$8,Parámetros!$D$12:$D$41)))</f>
        <v/>
      </c>
      <c r="G420" s="12"/>
      <c r="H420" s="6"/>
      <c r="I420" s="12"/>
      <c r="J420" s="6"/>
      <c r="K420" s="12"/>
    </row>
    <row r="421" customFormat="false" ht="15" hidden="false" customHeight="false" outlineLevel="0" collapsed="false">
      <c r="A421" s="6"/>
      <c r="B421" s="24" t="str">
        <f aca="false">IF(A421="","",IFERROR(INDEX(Empleados!$B$5:$B$64,MATCH(A421,Empleados!$A$5:$A$64,0)),"ID no encontrado"))</f>
        <v/>
      </c>
      <c r="C421" s="13"/>
      <c r="D421" s="13"/>
      <c r="E421" s="22" t="str">
        <f aca="false">IF(OR(C421="",D421=""),"",IF(Parámetros!$B$6="Calendario",D421-C421+1,NETWORKDAYS.INTL(C421,D421,Parámetros!$B$8,Parámetros!$D$12:$D$41)))</f>
        <v/>
      </c>
      <c r="F421" s="18" t="str">
        <f aca="false">IF(D421="","",IF(Parámetros!$B$6="Calendario",D421+1,WORKDAY.INTL(D421,1,Parámetros!$B$8,Parámetros!$D$12:$D$41)))</f>
        <v/>
      </c>
      <c r="G421" s="12"/>
      <c r="H421" s="6"/>
      <c r="I421" s="12"/>
      <c r="J421" s="6"/>
      <c r="K421" s="12"/>
    </row>
    <row r="422" customFormat="false" ht="15" hidden="false" customHeight="false" outlineLevel="0" collapsed="false">
      <c r="A422" s="6"/>
      <c r="B422" s="24" t="str">
        <f aca="false">IF(A422="","",IFERROR(INDEX(Empleados!$B$5:$B$64,MATCH(A422,Empleados!$A$5:$A$64,0)),"ID no encontrado"))</f>
        <v/>
      </c>
      <c r="C422" s="13"/>
      <c r="D422" s="13"/>
      <c r="E422" s="22" t="str">
        <f aca="false">IF(OR(C422="",D422=""),"",IF(Parámetros!$B$6="Calendario",D422-C422+1,NETWORKDAYS.INTL(C422,D422,Parámetros!$B$8,Parámetros!$D$12:$D$41)))</f>
        <v/>
      </c>
      <c r="F422" s="18" t="str">
        <f aca="false">IF(D422="","",IF(Parámetros!$B$6="Calendario",D422+1,WORKDAY.INTL(D422,1,Parámetros!$B$8,Parámetros!$D$12:$D$41)))</f>
        <v/>
      </c>
      <c r="G422" s="12"/>
      <c r="H422" s="6"/>
      <c r="I422" s="12"/>
      <c r="J422" s="6"/>
      <c r="K422" s="12"/>
    </row>
    <row r="423" customFormat="false" ht="15" hidden="false" customHeight="false" outlineLevel="0" collapsed="false">
      <c r="A423" s="6"/>
      <c r="B423" s="24" t="str">
        <f aca="false">IF(A423="","",IFERROR(INDEX(Empleados!$B$5:$B$64,MATCH(A423,Empleados!$A$5:$A$64,0)),"ID no encontrado"))</f>
        <v/>
      </c>
      <c r="C423" s="13"/>
      <c r="D423" s="13"/>
      <c r="E423" s="22" t="str">
        <f aca="false">IF(OR(C423="",D423=""),"",IF(Parámetros!$B$6="Calendario",D423-C423+1,NETWORKDAYS.INTL(C423,D423,Parámetros!$B$8,Parámetros!$D$12:$D$41)))</f>
        <v/>
      </c>
      <c r="F423" s="18" t="str">
        <f aca="false">IF(D423="","",IF(Parámetros!$B$6="Calendario",D423+1,WORKDAY.INTL(D423,1,Parámetros!$B$8,Parámetros!$D$12:$D$41)))</f>
        <v/>
      </c>
      <c r="G423" s="12"/>
      <c r="H423" s="6"/>
      <c r="I423" s="12"/>
      <c r="J423" s="6"/>
      <c r="K423" s="12"/>
    </row>
    <row r="424" customFormat="false" ht="15" hidden="false" customHeight="false" outlineLevel="0" collapsed="false">
      <c r="A424" s="6"/>
      <c r="B424" s="24" t="str">
        <f aca="false">IF(A424="","",IFERROR(INDEX(Empleados!$B$5:$B$64,MATCH(A424,Empleados!$A$5:$A$64,0)),"ID no encontrado"))</f>
        <v/>
      </c>
      <c r="C424" s="13"/>
      <c r="D424" s="13"/>
      <c r="E424" s="22" t="str">
        <f aca="false">IF(OR(C424="",D424=""),"",IF(Parámetros!$B$6="Calendario",D424-C424+1,NETWORKDAYS.INTL(C424,D424,Parámetros!$B$8,Parámetros!$D$12:$D$41)))</f>
        <v/>
      </c>
      <c r="F424" s="18" t="str">
        <f aca="false">IF(D424="","",IF(Parámetros!$B$6="Calendario",D424+1,WORKDAY.INTL(D424,1,Parámetros!$B$8,Parámetros!$D$12:$D$41)))</f>
        <v/>
      </c>
      <c r="G424" s="12"/>
      <c r="H424" s="6"/>
      <c r="I424" s="12"/>
      <c r="J424" s="6"/>
      <c r="K424" s="12"/>
    </row>
    <row r="425" customFormat="false" ht="15" hidden="false" customHeight="false" outlineLevel="0" collapsed="false">
      <c r="A425" s="6"/>
      <c r="B425" s="24" t="str">
        <f aca="false">IF(A425="","",IFERROR(INDEX(Empleados!$B$5:$B$64,MATCH(A425,Empleados!$A$5:$A$64,0)),"ID no encontrado"))</f>
        <v/>
      </c>
      <c r="C425" s="13"/>
      <c r="D425" s="13"/>
      <c r="E425" s="22" t="str">
        <f aca="false">IF(OR(C425="",D425=""),"",IF(Parámetros!$B$6="Calendario",D425-C425+1,NETWORKDAYS.INTL(C425,D425,Parámetros!$B$8,Parámetros!$D$12:$D$41)))</f>
        <v/>
      </c>
      <c r="F425" s="18" t="str">
        <f aca="false">IF(D425="","",IF(Parámetros!$B$6="Calendario",D425+1,WORKDAY.INTL(D425,1,Parámetros!$B$8,Parámetros!$D$12:$D$41)))</f>
        <v/>
      </c>
      <c r="G425" s="12"/>
      <c r="H425" s="6"/>
      <c r="I425" s="12"/>
      <c r="J425" s="6"/>
      <c r="K425" s="12"/>
    </row>
    <row r="426" customFormat="false" ht="15" hidden="false" customHeight="false" outlineLevel="0" collapsed="false">
      <c r="A426" s="6"/>
      <c r="B426" s="24" t="str">
        <f aca="false">IF(A426="","",IFERROR(INDEX(Empleados!$B$5:$B$64,MATCH(A426,Empleados!$A$5:$A$64,0)),"ID no encontrado"))</f>
        <v/>
      </c>
      <c r="C426" s="13"/>
      <c r="D426" s="13"/>
      <c r="E426" s="22" t="str">
        <f aca="false">IF(OR(C426="",D426=""),"",IF(Parámetros!$B$6="Calendario",D426-C426+1,NETWORKDAYS.INTL(C426,D426,Parámetros!$B$8,Parámetros!$D$12:$D$41)))</f>
        <v/>
      </c>
      <c r="F426" s="18" t="str">
        <f aca="false">IF(D426="","",IF(Parámetros!$B$6="Calendario",D426+1,WORKDAY.INTL(D426,1,Parámetros!$B$8,Parámetros!$D$12:$D$41)))</f>
        <v/>
      </c>
      <c r="G426" s="12"/>
      <c r="H426" s="6"/>
      <c r="I426" s="12"/>
      <c r="J426" s="6"/>
      <c r="K426" s="12"/>
    </row>
    <row r="427" customFormat="false" ht="15" hidden="false" customHeight="false" outlineLevel="0" collapsed="false">
      <c r="A427" s="6"/>
      <c r="B427" s="24" t="str">
        <f aca="false">IF(A427="","",IFERROR(INDEX(Empleados!$B$5:$B$64,MATCH(A427,Empleados!$A$5:$A$64,0)),"ID no encontrado"))</f>
        <v/>
      </c>
      <c r="C427" s="13"/>
      <c r="D427" s="13"/>
      <c r="E427" s="22" t="str">
        <f aca="false">IF(OR(C427="",D427=""),"",IF(Parámetros!$B$6="Calendario",D427-C427+1,NETWORKDAYS.INTL(C427,D427,Parámetros!$B$8,Parámetros!$D$12:$D$41)))</f>
        <v/>
      </c>
      <c r="F427" s="18" t="str">
        <f aca="false">IF(D427="","",IF(Parámetros!$B$6="Calendario",D427+1,WORKDAY.INTL(D427,1,Parámetros!$B$8,Parámetros!$D$12:$D$41)))</f>
        <v/>
      </c>
      <c r="G427" s="12"/>
      <c r="H427" s="6"/>
      <c r="I427" s="12"/>
      <c r="J427" s="6"/>
      <c r="K427" s="12"/>
    </row>
    <row r="428" customFormat="false" ht="15" hidden="false" customHeight="false" outlineLevel="0" collapsed="false">
      <c r="A428" s="6"/>
      <c r="B428" s="24" t="str">
        <f aca="false">IF(A428="","",IFERROR(INDEX(Empleados!$B$5:$B$64,MATCH(A428,Empleados!$A$5:$A$64,0)),"ID no encontrado"))</f>
        <v/>
      </c>
      <c r="C428" s="13"/>
      <c r="D428" s="13"/>
      <c r="E428" s="22" t="str">
        <f aca="false">IF(OR(C428="",D428=""),"",IF(Parámetros!$B$6="Calendario",D428-C428+1,NETWORKDAYS.INTL(C428,D428,Parámetros!$B$8,Parámetros!$D$12:$D$41)))</f>
        <v/>
      </c>
      <c r="F428" s="18" t="str">
        <f aca="false">IF(D428="","",IF(Parámetros!$B$6="Calendario",D428+1,WORKDAY.INTL(D428,1,Parámetros!$B$8,Parámetros!$D$12:$D$41)))</f>
        <v/>
      </c>
      <c r="G428" s="12"/>
      <c r="H428" s="6"/>
      <c r="I428" s="12"/>
      <c r="J428" s="6"/>
      <c r="K428" s="12"/>
    </row>
    <row r="429" customFormat="false" ht="15" hidden="false" customHeight="false" outlineLevel="0" collapsed="false">
      <c r="A429" s="6"/>
      <c r="B429" s="24" t="str">
        <f aca="false">IF(A429="","",IFERROR(INDEX(Empleados!$B$5:$B$64,MATCH(A429,Empleados!$A$5:$A$64,0)),"ID no encontrado"))</f>
        <v/>
      </c>
      <c r="C429" s="13"/>
      <c r="D429" s="13"/>
      <c r="E429" s="22" t="str">
        <f aca="false">IF(OR(C429="",D429=""),"",IF(Parámetros!$B$6="Calendario",D429-C429+1,NETWORKDAYS.INTL(C429,D429,Parámetros!$B$8,Parámetros!$D$12:$D$41)))</f>
        <v/>
      </c>
      <c r="F429" s="18" t="str">
        <f aca="false">IF(D429="","",IF(Parámetros!$B$6="Calendario",D429+1,WORKDAY.INTL(D429,1,Parámetros!$B$8,Parámetros!$D$12:$D$41)))</f>
        <v/>
      </c>
      <c r="G429" s="12"/>
      <c r="H429" s="6"/>
      <c r="I429" s="12"/>
      <c r="J429" s="6"/>
      <c r="K429" s="12"/>
    </row>
    <row r="430" customFormat="false" ht="15" hidden="false" customHeight="false" outlineLevel="0" collapsed="false">
      <c r="A430" s="6"/>
      <c r="B430" s="24" t="str">
        <f aca="false">IF(A430="","",IFERROR(INDEX(Empleados!$B$5:$B$64,MATCH(A430,Empleados!$A$5:$A$64,0)),"ID no encontrado"))</f>
        <v/>
      </c>
      <c r="C430" s="13"/>
      <c r="D430" s="13"/>
      <c r="E430" s="22" t="str">
        <f aca="false">IF(OR(C430="",D430=""),"",IF(Parámetros!$B$6="Calendario",D430-C430+1,NETWORKDAYS.INTL(C430,D430,Parámetros!$B$8,Parámetros!$D$12:$D$41)))</f>
        <v/>
      </c>
      <c r="F430" s="18" t="str">
        <f aca="false">IF(D430="","",IF(Parámetros!$B$6="Calendario",D430+1,WORKDAY.INTL(D430,1,Parámetros!$B$8,Parámetros!$D$12:$D$41)))</f>
        <v/>
      </c>
      <c r="G430" s="12"/>
      <c r="H430" s="6"/>
      <c r="I430" s="12"/>
      <c r="J430" s="6"/>
      <c r="K430" s="12"/>
    </row>
    <row r="431" customFormat="false" ht="15" hidden="false" customHeight="false" outlineLevel="0" collapsed="false">
      <c r="A431" s="6"/>
      <c r="B431" s="24" t="str">
        <f aca="false">IF(A431="","",IFERROR(INDEX(Empleados!$B$5:$B$64,MATCH(A431,Empleados!$A$5:$A$64,0)),"ID no encontrado"))</f>
        <v/>
      </c>
      <c r="C431" s="13"/>
      <c r="D431" s="13"/>
      <c r="E431" s="22" t="str">
        <f aca="false">IF(OR(C431="",D431=""),"",IF(Parámetros!$B$6="Calendario",D431-C431+1,NETWORKDAYS.INTL(C431,D431,Parámetros!$B$8,Parámetros!$D$12:$D$41)))</f>
        <v/>
      </c>
      <c r="F431" s="18" t="str">
        <f aca="false">IF(D431="","",IF(Parámetros!$B$6="Calendario",D431+1,WORKDAY.INTL(D431,1,Parámetros!$B$8,Parámetros!$D$12:$D$41)))</f>
        <v/>
      </c>
      <c r="G431" s="12"/>
      <c r="H431" s="6"/>
      <c r="I431" s="12"/>
      <c r="J431" s="6"/>
      <c r="K431" s="12"/>
    </row>
    <row r="432" customFormat="false" ht="15" hidden="false" customHeight="false" outlineLevel="0" collapsed="false">
      <c r="A432" s="6"/>
      <c r="B432" s="24" t="str">
        <f aca="false">IF(A432="","",IFERROR(INDEX(Empleados!$B$5:$B$64,MATCH(A432,Empleados!$A$5:$A$64,0)),"ID no encontrado"))</f>
        <v/>
      </c>
      <c r="C432" s="13"/>
      <c r="D432" s="13"/>
      <c r="E432" s="22" t="str">
        <f aca="false">IF(OR(C432="",D432=""),"",IF(Parámetros!$B$6="Calendario",D432-C432+1,NETWORKDAYS.INTL(C432,D432,Parámetros!$B$8,Parámetros!$D$12:$D$41)))</f>
        <v/>
      </c>
      <c r="F432" s="18" t="str">
        <f aca="false">IF(D432="","",IF(Parámetros!$B$6="Calendario",D432+1,WORKDAY.INTL(D432,1,Parámetros!$B$8,Parámetros!$D$12:$D$41)))</f>
        <v/>
      </c>
      <c r="G432" s="12"/>
      <c r="H432" s="6"/>
      <c r="I432" s="12"/>
      <c r="J432" s="6"/>
      <c r="K432" s="12"/>
    </row>
    <row r="433" customFormat="false" ht="15" hidden="false" customHeight="false" outlineLevel="0" collapsed="false">
      <c r="A433" s="6"/>
      <c r="B433" s="24" t="str">
        <f aca="false">IF(A433="","",IFERROR(INDEX(Empleados!$B$5:$B$64,MATCH(A433,Empleados!$A$5:$A$64,0)),"ID no encontrado"))</f>
        <v/>
      </c>
      <c r="C433" s="13"/>
      <c r="D433" s="13"/>
      <c r="E433" s="22" t="str">
        <f aca="false">IF(OR(C433="",D433=""),"",IF(Parámetros!$B$6="Calendario",D433-C433+1,NETWORKDAYS.INTL(C433,D433,Parámetros!$B$8,Parámetros!$D$12:$D$41)))</f>
        <v/>
      </c>
      <c r="F433" s="18" t="str">
        <f aca="false">IF(D433="","",IF(Parámetros!$B$6="Calendario",D433+1,WORKDAY.INTL(D433,1,Parámetros!$B$8,Parámetros!$D$12:$D$41)))</f>
        <v/>
      </c>
      <c r="G433" s="12"/>
      <c r="H433" s="6"/>
      <c r="I433" s="12"/>
      <c r="J433" s="6"/>
      <c r="K433" s="12"/>
    </row>
    <row r="434" customFormat="false" ht="15" hidden="false" customHeight="false" outlineLevel="0" collapsed="false">
      <c r="A434" s="6"/>
      <c r="B434" s="24" t="str">
        <f aca="false">IF(A434="","",IFERROR(INDEX(Empleados!$B$5:$B$64,MATCH(A434,Empleados!$A$5:$A$64,0)),"ID no encontrado"))</f>
        <v/>
      </c>
      <c r="C434" s="13"/>
      <c r="D434" s="13"/>
      <c r="E434" s="22" t="str">
        <f aca="false">IF(OR(C434="",D434=""),"",IF(Parámetros!$B$6="Calendario",D434-C434+1,NETWORKDAYS.INTL(C434,D434,Parámetros!$B$8,Parámetros!$D$12:$D$41)))</f>
        <v/>
      </c>
      <c r="F434" s="18" t="str">
        <f aca="false">IF(D434="","",IF(Parámetros!$B$6="Calendario",D434+1,WORKDAY.INTL(D434,1,Parámetros!$B$8,Parámetros!$D$12:$D$41)))</f>
        <v/>
      </c>
      <c r="G434" s="12"/>
      <c r="H434" s="6"/>
      <c r="I434" s="12"/>
      <c r="J434" s="6"/>
      <c r="K434" s="12"/>
    </row>
    <row r="435" customFormat="false" ht="15" hidden="false" customHeight="false" outlineLevel="0" collapsed="false">
      <c r="A435" s="6"/>
      <c r="B435" s="24" t="str">
        <f aca="false">IF(A435="","",IFERROR(INDEX(Empleados!$B$5:$B$64,MATCH(A435,Empleados!$A$5:$A$64,0)),"ID no encontrado"))</f>
        <v/>
      </c>
      <c r="C435" s="13"/>
      <c r="D435" s="13"/>
      <c r="E435" s="22" t="str">
        <f aca="false">IF(OR(C435="",D435=""),"",IF(Parámetros!$B$6="Calendario",D435-C435+1,NETWORKDAYS.INTL(C435,D435,Parámetros!$B$8,Parámetros!$D$12:$D$41)))</f>
        <v/>
      </c>
      <c r="F435" s="18" t="str">
        <f aca="false">IF(D435="","",IF(Parámetros!$B$6="Calendario",D435+1,WORKDAY.INTL(D435,1,Parámetros!$B$8,Parámetros!$D$12:$D$41)))</f>
        <v/>
      </c>
      <c r="G435" s="12"/>
      <c r="H435" s="6"/>
      <c r="I435" s="12"/>
      <c r="J435" s="6"/>
      <c r="K435" s="12"/>
    </row>
    <row r="436" customFormat="false" ht="15" hidden="false" customHeight="false" outlineLevel="0" collapsed="false">
      <c r="A436" s="6"/>
      <c r="B436" s="24" t="str">
        <f aca="false">IF(A436="","",IFERROR(INDEX(Empleados!$B$5:$B$64,MATCH(A436,Empleados!$A$5:$A$64,0)),"ID no encontrado"))</f>
        <v/>
      </c>
      <c r="C436" s="13"/>
      <c r="D436" s="13"/>
      <c r="E436" s="22" t="str">
        <f aca="false">IF(OR(C436="",D436=""),"",IF(Parámetros!$B$6="Calendario",D436-C436+1,NETWORKDAYS.INTL(C436,D436,Parámetros!$B$8,Parámetros!$D$12:$D$41)))</f>
        <v/>
      </c>
      <c r="F436" s="18" t="str">
        <f aca="false">IF(D436="","",IF(Parámetros!$B$6="Calendario",D436+1,WORKDAY.INTL(D436,1,Parámetros!$B$8,Parámetros!$D$12:$D$41)))</f>
        <v/>
      </c>
      <c r="G436" s="12"/>
      <c r="H436" s="6"/>
      <c r="I436" s="12"/>
      <c r="J436" s="6"/>
      <c r="K436" s="12"/>
    </row>
    <row r="437" customFormat="false" ht="15" hidden="false" customHeight="false" outlineLevel="0" collapsed="false">
      <c r="A437" s="6"/>
      <c r="B437" s="24" t="str">
        <f aca="false">IF(A437="","",IFERROR(INDEX(Empleados!$B$5:$B$64,MATCH(A437,Empleados!$A$5:$A$64,0)),"ID no encontrado"))</f>
        <v/>
      </c>
      <c r="C437" s="13"/>
      <c r="D437" s="13"/>
      <c r="E437" s="22" t="str">
        <f aca="false">IF(OR(C437="",D437=""),"",IF(Parámetros!$B$6="Calendario",D437-C437+1,NETWORKDAYS.INTL(C437,D437,Parámetros!$B$8,Parámetros!$D$12:$D$41)))</f>
        <v/>
      </c>
      <c r="F437" s="18" t="str">
        <f aca="false">IF(D437="","",IF(Parámetros!$B$6="Calendario",D437+1,WORKDAY.INTL(D437,1,Parámetros!$B$8,Parámetros!$D$12:$D$41)))</f>
        <v/>
      </c>
      <c r="G437" s="12"/>
      <c r="H437" s="6"/>
      <c r="I437" s="12"/>
      <c r="J437" s="6"/>
      <c r="K437" s="12"/>
    </row>
    <row r="438" customFormat="false" ht="15" hidden="false" customHeight="false" outlineLevel="0" collapsed="false">
      <c r="A438" s="6"/>
      <c r="B438" s="24" t="str">
        <f aca="false">IF(A438="","",IFERROR(INDEX(Empleados!$B$5:$B$64,MATCH(A438,Empleados!$A$5:$A$64,0)),"ID no encontrado"))</f>
        <v/>
      </c>
      <c r="C438" s="13"/>
      <c r="D438" s="13"/>
      <c r="E438" s="22" t="str">
        <f aca="false">IF(OR(C438="",D438=""),"",IF(Parámetros!$B$6="Calendario",D438-C438+1,NETWORKDAYS.INTL(C438,D438,Parámetros!$B$8,Parámetros!$D$12:$D$41)))</f>
        <v/>
      </c>
      <c r="F438" s="18" t="str">
        <f aca="false">IF(D438="","",IF(Parámetros!$B$6="Calendario",D438+1,WORKDAY.INTL(D438,1,Parámetros!$B$8,Parámetros!$D$12:$D$41)))</f>
        <v/>
      </c>
      <c r="G438" s="12"/>
      <c r="H438" s="6"/>
      <c r="I438" s="12"/>
      <c r="J438" s="6"/>
      <c r="K438" s="12"/>
    </row>
    <row r="439" customFormat="false" ht="15" hidden="false" customHeight="false" outlineLevel="0" collapsed="false">
      <c r="A439" s="6"/>
      <c r="B439" s="24" t="str">
        <f aca="false">IF(A439="","",IFERROR(INDEX(Empleados!$B$5:$B$64,MATCH(A439,Empleados!$A$5:$A$64,0)),"ID no encontrado"))</f>
        <v/>
      </c>
      <c r="C439" s="13"/>
      <c r="D439" s="13"/>
      <c r="E439" s="22" t="str">
        <f aca="false">IF(OR(C439="",D439=""),"",IF(Parámetros!$B$6="Calendario",D439-C439+1,NETWORKDAYS.INTL(C439,D439,Parámetros!$B$8,Parámetros!$D$12:$D$41)))</f>
        <v/>
      </c>
      <c r="F439" s="18" t="str">
        <f aca="false">IF(D439="","",IF(Parámetros!$B$6="Calendario",D439+1,WORKDAY.INTL(D439,1,Parámetros!$B$8,Parámetros!$D$12:$D$41)))</f>
        <v/>
      </c>
      <c r="G439" s="12"/>
      <c r="H439" s="6"/>
      <c r="I439" s="12"/>
      <c r="J439" s="6"/>
      <c r="K439" s="12"/>
    </row>
    <row r="440" customFormat="false" ht="15" hidden="false" customHeight="false" outlineLevel="0" collapsed="false">
      <c r="A440" s="6"/>
      <c r="B440" s="24" t="str">
        <f aca="false">IF(A440="","",IFERROR(INDEX(Empleados!$B$5:$B$64,MATCH(A440,Empleados!$A$5:$A$64,0)),"ID no encontrado"))</f>
        <v/>
      </c>
      <c r="C440" s="13"/>
      <c r="D440" s="13"/>
      <c r="E440" s="22" t="str">
        <f aca="false">IF(OR(C440="",D440=""),"",IF(Parámetros!$B$6="Calendario",D440-C440+1,NETWORKDAYS.INTL(C440,D440,Parámetros!$B$8,Parámetros!$D$12:$D$41)))</f>
        <v/>
      </c>
      <c r="F440" s="18" t="str">
        <f aca="false">IF(D440="","",IF(Parámetros!$B$6="Calendario",D440+1,WORKDAY.INTL(D440,1,Parámetros!$B$8,Parámetros!$D$12:$D$41)))</f>
        <v/>
      </c>
      <c r="G440" s="12"/>
      <c r="H440" s="6"/>
      <c r="I440" s="12"/>
      <c r="J440" s="6"/>
      <c r="K440" s="12"/>
    </row>
    <row r="441" customFormat="false" ht="15" hidden="false" customHeight="false" outlineLevel="0" collapsed="false">
      <c r="A441" s="6"/>
      <c r="B441" s="24" t="str">
        <f aca="false">IF(A441="","",IFERROR(INDEX(Empleados!$B$5:$B$64,MATCH(A441,Empleados!$A$5:$A$64,0)),"ID no encontrado"))</f>
        <v/>
      </c>
      <c r="C441" s="13"/>
      <c r="D441" s="13"/>
      <c r="E441" s="22" t="str">
        <f aca="false">IF(OR(C441="",D441=""),"",IF(Parámetros!$B$6="Calendario",D441-C441+1,NETWORKDAYS.INTL(C441,D441,Parámetros!$B$8,Parámetros!$D$12:$D$41)))</f>
        <v/>
      </c>
      <c r="F441" s="18" t="str">
        <f aca="false">IF(D441="","",IF(Parámetros!$B$6="Calendario",D441+1,WORKDAY.INTL(D441,1,Parámetros!$B$8,Parámetros!$D$12:$D$41)))</f>
        <v/>
      </c>
      <c r="G441" s="12"/>
      <c r="H441" s="6"/>
      <c r="I441" s="12"/>
      <c r="J441" s="6"/>
      <c r="K441" s="12"/>
    </row>
    <row r="442" customFormat="false" ht="15" hidden="false" customHeight="false" outlineLevel="0" collapsed="false">
      <c r="A442" s="6"/>
      <c r="B442" s="24" t="str">
        <f aca="false">IF(A442="","",IFERROR(INDEX(Empleados!$B$5:$B$64,MATCH(A442,Empleados!$A$5:$A$64,0)),"ID no encontrado"))</f>
        <v/>
      </c>
      <c r="C442" s="13"/>
      <c r="D442" s="13"/>
      <c r="E442" s="22" t="str">
        <f aca="false">IF(OR(C442="",D442=""),"",IF(Parámetros!$B$6="Calendario",D442-C442+1,NETWORKDAYS.INTL(C442,D442,Parámetros!$B$8,Parámetros!$D$12:$D$41)))</f>
        <v/>
      </c>
      <c r="F442" s="18" t="str">
        <f aca="false">IF(D442="","",IF(Parámetros!$B$6="Calendario",D442+1,WORKDAY.INTL(D442,1,Parámetros!$B$8,Parámetros!$D$12:$D$41)))</f>
        <v/>
      </c>
      <c r="G442" s="12"/>
      <c r="H442" s="6"/>
      <c r="I442" s="12"/>
      <c r="J442" s="6"/>
      <c r="K442" s="12"/>
    </row>
    <row r="443" customFormat="false" ht="15" hidden="false" customHeight="false" outlineLevel="0" collapsed="false">
      <c r="A443" s="6"/>
      <c r="B443" s="24" t="str">
        <f aca="false">IF(A443="","",IFERROR(INDEX(Empleados!$B$5:$B$64,MATCH(A443,Empleados!$A$5:$A$64,0)),"ID no encontrado"))</f>
        <v/>
      </c>
      <c r="C443" s="13"/>
      <c r="D443" s="13"/>
      <c r="E443" s="22" t="str">
        <f aca="false">IF(OR(C443="",D443=""),"",IF(Parámetros!$B$6="Calendario",D443-C443+1,NETWORKDAYS.INTL(C443,D443,Parámetros!$B$8,Parámetros!$D$12:$D$41)))</f>
        <v/>
      </c>
      <c r="F443" s="18" t="str">
        <f aca="false">IF(D443="","",IF(Parámetros!$B$6="Calendario",D443+1,WORKDAY.INTL(D443,1,Parámetros!$B$8,Parámetros!$D$12:$D$41)))</f>
        <v/>
      </c>
      <c r="G443" s="12"/>
      <c r="H443" s="6"/>
      <c r="I443" s="12"/>
      <c r="J443" s="6"/>
      <c r="K443" s="12"/>
    </row>
    <row r="444" customFormat="false" ht="15" hidden="false" customHeight="false" outlineLevel="0" collapsed="false">
      <c r="A444" s="6"/>
      <c r="B444" s="24" t="str">
        <f aca="false">IF(A444="","",IFERROR(INDEX(Empleados!$B$5:$B$64,MATCH(A444,Empleados!$A$5:$A$64,0)),"ID no encontrado"))</f>
        <v/>
      </c>
      <c r="C444" s="13"/>
      <c r="D444" s="13"/>
      <c r="E444" s="22" t="str">
        <f aca="false">IF(OR(C444="",D444=""),"",IF(Parámetros!$B$6="Calendario",D444-C444+1,NETWORKDAYS.INTL(C444,D444,Parámetros!$B$8,Parámetros!$D$12:$D$41)))</f>
        <v/>
      </c>
      <c r="F444" s="18" t="str">
        <f aca="false">IF(D444="","",IF(Parámetros!$B$6="Calendario",D444+1,WORKDAY.INTL(D444,1,Parámetros!$B$8,Parámetros!$D$12:$D$41)))</f>
        <v/>
      </c>
      <c r="G444" s="12"/>
      <c r="H444" s="6"/>
      <c r="I444" s="12"/>
      <c r="J444" s="6"/>
      <c r="K444" s="12"/>
    </row>
    <row r="445" customFormat="false" ht="15" hidden="false" customHeight="false" outlineLevel="0" collapsed="false">
      <c r="A445" s="6"/>
      <c r="B445" s="24" t="str">
        <f aca="false">IF(A445="","",IFERROR(INDEX(Empleados!$B$5:$B$64,MATCH(A445,Empleados!$A$5:$A$64,0)),"ID no encontrado"))</f>
        <v/>
      </c>
      <c r="C445" s="13"/>
      <c r="D445" s="13"/>
      <c r="E445" s="22" t="str">
        <f aca="false">IF(OR(C445="",D445=""),"",IF(Parámetros!$B$6="Calendario",D445-C445+1,NETWORKDAYS.INTL(C445,D445,Parámetros!$B$8,Parámetros!$D$12:$D$41)))</f>
        <v/>
      </c>
      <c r="F445" s="18" t="str">
        <f aca="false">IF(D445="","",IF(Parámetros!$B$6="Calendario",D445+1,WORKDAY.INTL(D445,1,Parámetros!$B$8,Parámetros!$D$12:$D$41)))</f>
        <v/>
      </c>
      <c r="G445" s="12"/>
      <c r="H445" s="6"/>
      <c r="I445" s="12"/>
      <c r="J445" s="6"/>
      <c r="K445" s="12"/>
    </row>
    <row r="446" customFormat="false" ht="15" hidden="false" customHeight="false" outlineLevel="0" collapsed="false">
      <c r="A446" s="6"/>
      <c r="B446" s="24" t="str">
        <f aca="false">IF(A446="","",IFERROR(INDEX(Empleados!$B$5:$B$64,MATCH(A446,Empleados!$A$5:$A$64,0)),"ID no encontrado"))</f>
        <v/>
      </c>
      <c r="C446" s="13"/>
      <c r="D446" s="13"/>
      <c r="E446" s="22" t="str">
        <f aca="false">IF(OR(C446="",D446=""),"",IF(Parámetros!$B$6="Calendario",D446-C446+1,NETWORKDAYS.INTL(C446,D446,Parámetros!$B$8,Parámetros!$D$12:$D$41)))</f>
        <v/>
      </c>
      <c r="F446" s="18" t="str">
        <f aca="false">IF(D446="","",IF(Parámetros!$B$6="Calendario",D446+1,WORKDAY.INTL(D446,1,Parámetros!$B$8,Parámetros!$D$12:$D$41)))</f>
        <v/>
      </c>
      <c r="G446" s="12"/>
      <c r="H446" s="6"/>
      <c r="I446" s="12"/>
      <c r="J446" s="6"/>
      <c r="K446" s="12"/>
    </row>
    <row r="447" customFormat="false" ht="15" hidden="false" customHeight="false" outlineLevel="0" collapsed="false">
      <c r="A447" s="6"/>
      <c r="B447" s="24" t="str">
        <f aca="false">IF(A447="","",IFERROR(INDEX(Empleados!$B$5:$B$64,MATCH(A447,Empleados!$A$5:$A$64,0)),"ID no encontrado"))</f>
        <v/>
      </c>
      <c r="C447" s="13"/>
      <c r="D447" s="13"/>
      <c r="E447" s="22" t="str">
        <f aca="false">IF(OR(C447="",D447=""),"",IF(Parámetros!$B$6="Calendario",D447-C447+1,NETWORKDAYS.INTL(C447,D447,Parámetros!$B$8,Parámetros!$D$12:$D$41)))</f>
        <v/>
      </c>
      <c r="F447" s="18" t="str">
        <f aca="false">IF(D447="","",IF(Parámetros!$B$6="Calendario",D447+1,WORKDAY.INTL(D447,1,Parámetros!$B$8,Parámetros!$D$12:$D$41)))</f>
        <v/>
      </c>
      <c r="G447" s="12"/>
      <c r="H447" s="6"/>
      <c r="I447" s="12"/>
      <c r="J447" s="6"/>
      <c r="K447" s="12"/>
    </row>
    <row r="448" customFormat="false" ht="15" hidden="false" customHeight="false" outlineLevel="0" collapsed="false">
      <c r="A448" s="6"/>
      <c r="B448" s="24" t="str">
        <f aca="false">IF(A448="","",IFERROR(INDEX(Empleados!$B$5:$B$64,MATCH(A448,Empleados!$A$5:$A$64,0)),"ID no encontrado"))</f>
        <v/>
      </c>
      <c r="C448" s="13"/>
      <c r="D448" s="13"/>
      <c r="E448" s="22" t="str">
        <f aca="false">IF(OR(C448="",D448=""),"",IF(Parámetros!$B$6="Calendario",D448-C448+1,NETWORKDAYS.INTL(C448,D448,Parámetros!$B$8,Parámetros!$D$12:$D$41)))</f>
        <v/>
      </c>
      <c r="F448" s="18" t="str">
        <f aca="false">IF(D448="","",IF(Parámetros!$B$6="Calendario",D448+1,WORKDAY.INTL(D448,1,Parámetros!$B$8,Parámetros!$D$12:$D$41)))</f>
        <v/>
      </c>
      <c r="G448" s="12"/>
      <c r="H448" s="6"/>
      <c r="I448" s="12"/>
      <c r="J448" s="6"/>
      <c r="K448" s="12"/>
    </row>
    <row r="449" customFormat="false" ht="15" hidden="false" customHeight="false" outlineLevel="0" collapsed="false">
      <c r="A449" s="6"/>
      <c r="B449" s="24" t="str">
        <f aca="false">IF(A449="","",IFERROR(INDEX(Empleados!$B$5:$B$64,MATCH(A449,Empleados!$A$5:$A$64,0)),"ID no encontrado"))</f>
        <v/>
      </c>
      <c r="C449" s="13"/>
      <c r="D449" s="13"/>
      <c r="E449" s="22" t="str">
        <f aca="false">IF(OR(C449="",D449=""),"",IF(Parámetros!$B$6="Calendario",D449-C449+1,NETWORKDAYS.INTL(C449,D449,Parámetros!$B$8,Parámetros!$D$12:$D$41)))</f>
        <v/>
      </c>
      <c r="F449" s="18" t="str">
        <f aca="false">IF(D449="","",IF(Parámetros!$B$6="Calendario",D449+1,WORKDAY.INTL(D449,1,Parámetros!$B$8,Parámetros!$D$12:$D$41)))</f>
        <v/>
      </c>
      <c r="G449" s="12"/>
      <c r="H449" s="6"/>
      <c r="I449" s="12"/>
      <c r="J449" s="6"/>
      <c r="K449" s="12"/>
    </row>
    <row r="450" customFormat="false" ht="15" hidden="false" customHeight="false" outlineLevel="0" collapsed="false">
      <c r="A450" s="6"/>
      <c r="B450" s="24" t="str">
        <f aca="false">IF(A450="","",IFERROR(INDEX(Empleados!$B$5:$B$64,MATCH(A450,Empleados!$A$5:$A$64,0)),"ID no encontrado"))</f>
        <v/>
      </c>
      <c r="C450" s="13"/>
      <c r="D450" s="13"/>
      <c r="E450" s="22" t="str">
        <f aca="false">IF(OR(C450="",D450=""),"",IF(Parámetros!$B$6="Calendario",D450-C450+1,NETWORKDAYS.INTL(C450,D450,Parámetros!$B$8,Parámetros!$D$12:$D$41)))</f>
        <v/>
      </c>
      <c r="F450" s="18" t="str">
        <f aca="false">IF(D450="","",IF(Parámetros!$B$6="Calendario",D450+1,WORKDAY.INTL(D450,1,Parámetros!$B$8,Parámetros!$D$12:$D$41)))</f>
        <v/>
      </c>
      <c r="G450" s="12"/>
      <c r="H450" s="6"/>
      <c r="I450" s="12"/>
      <c r="J450" s="6"/>
      <c r="K450" s="12"/>
    </row>
    <row r="451" customFormat="false" ht="15" hidden="false" customHeight="false" outlineLevel="0" collapsed="false">
      <c r="A451" s="6"/>
      <c r="B451" s="24" t="str">
        <f aca="false">IF(A451="","",IFERROR(INDEX(Empleados!$B$5:$B$64,MATCH(A451,Empleados!$A$5:$A$64,0)),"ID no encontrado"))</f>
        <v/>
      </c>
      <c r="C451" s="13"/>
      <c r="D451" s="13"/>
      <c r="E451" s="22" t="str">
        <f aca="false">IF(OR(C451="",D451=""),"",IF(Parámetros!$B$6="Calendario",D451-C451+1,NETWORKDAYS.INTL(C451,D451,Parámetros!$B$8,Parámetros!$D$12:$D$41)))</f>
        <v/>
      </c>
      <c r="F451" s="18" t="str">
        <f aca="false">IF(D451="","",IF(Parámetros!$B$6="Calendario",D451+1,WORKDAY.INTL(D451,1,Parámetros!$B$8,Parámetros!$D$12:$D$41)))</f>
        <v/>
      </c>
      <c r="G451" s="12"/>
      <c r="H451" s="6"/>
      <c r="I451" s="12"/>
      <c r="J451" s="6"/>
      <c r="K451" s="12"/>
    </row>
    <row r="452" customFormat="false" ht="15" hidden="false" customHeight="false" outlineLevel="0" collapsed="false">
      <c r="A452" s="6"/>
      <c r="B452" s="24" t="str">
        <f aca="false">IF(A452="","",IFERROR(INDEX(Empleados!$B$5:$B$64,MATCH(A452,Empleados!$A$5:$A$64,0)),"ID no encontrado"))</f>
        <v/>
      </c>
      <c r="C452" s="13"/>
      <c r="D452" s="13"/>
      <c r="E452" s="22" t="str">
        <f aca="false">IF(OR(C452="",D452=""),"",IF(Parámetros!$B$6="Calendario",D452-C452+1,NETWORKDAYS.INTL(C452,D452,Parámetros!$B$8,Parámetros!$D$12:$D$41)))</f>
        <v/>
      </c>
      <c r="F452" s="18" t="str">
        <f aca="false">IF(D452="","",IF(Parámetros!$B$6="Calendario",D452+1,WORKDAY.INTL(D452,1,Parámetros!$B$8,Parámetros!$D$12:$D$41)))</f>
        <v/>
      </c>
      <c r="G452" s="12"/>
      <c r="H452" s="6"/>
      <c r="I452" s="12"/>
      <c r="J452" s="6"/>
      <c r="K452" s="12"/>
    </row>
    <row r="453" customFormat="false" ht="15" hidden="false" customHeight="false" outlineLevel="0" collapsed="false">
      <c r="A453" s="6"/>
      <c r="B453" s="24" t="str">
        <f aca="false">IF(A453="","",IFERROR(INDEX(Empleados!$B$5:$B$64,MATCH(A453,Empleados!$A$5:$A$64,0)),"ID no encontrado"))</f>
        <v/>
      </c>
      <c r="C453" s="13"/>
      <c r="D453" s="13"/>
      <c r="E453" s="22" t="str">
        <f aca="false">IF(OR(C453="",D453=""),"",IF(Parámetros!$B$6="Calendario",D453-C453+1,NETWORKDAYS.INTL(C453,D453,Parámetros!$B$8,Parámetros!$D$12:$D$41)))</f>
        <v/>
      </c>
      <c r="F453" s="18" t="str">
        <f aca="false">IF(D453="","",IF(Parámetros!$B$6="Calendario",D453+1,WORKDAY.INTL(D453,1,Parámetros!$B$8,Parámetros!$D$12:$D$41)))</f>
        <v/>
      </c>
      <c r="G453" s="12"/>
      <c r="H453" s="6"/>
      <c r="I453" s="12"/>
      <c r="J453" s="6"/>
      <c r="K453" s="12"/>
    </row>
    <row r="454" customFormat="false" ht="15" hidden="false" customHeight="false" outlineLevel="0" collapsed="false">
      <c r="A454" s="6"/>
      <c r="B454" s="24" t="str">
        <f aca="false">IF(A454="","",IFERROR(INDEX(Empleados!$B$5:$B$64,MATCH(A454,Empleados!$A$5:$A$64,0)),"ID no encontrado"))</f>
        <v/>
      </c>
      <c r="C454" s="13"/>
      <c r="D454" s="13"/>
      <c r="E454" s="22" t="str">
        <f aca="false">IF(OR(C454="",D454=""),"",IF(Parámetros!$B$6="Calendario",D454-C454+1,NETWORKDAYS.INTL(C454,D454,Parámetros!$B$8,Parámetros!$D$12:$D$41)))</f>
        <v/>
      </c>
      <c r="F454" s="18" t="str">
        <f aca="false">IF(D454="","",IF(Parámetros!$B$6="Calendario",D454+1,WORKDAY.INTL(D454,1,Parámetros!$B$8,Parámetros!$D$12:$D$41)))</f>
        <v/>
      </c>
      <c r="G454" s="12"/>
      <c r="H454" s="6"/>
      <c r="I454" s="12"/>
      <c r="J454" s="6"/>
      <c r="K454" s="12"/>
    </row>
    <row r="455" customFormat="false" ht="15" hidden="false" customHeight="false" outlineLevel="0" collapsed="false">
      <c r="A455" s="6"/>
      <c r="B455" s="24" t="str">
        <f aca="false">IF(A455="","",IFERROR(INDEX(Empleados!$B$5:$B$64,MATCH(A455,Empleados!$A$5:$A$64,0)),"ID no encontrado"))</f>
        <v/>
      </c>
      <c r="C455" s="13"/>
      <c r="D455" s="13"/>
      <c r="E455" s="22" t="str">
        <f aca="false">IF(OR(C455="",D455=""),"",IF(Parámetros!$B$6="Calendario",D455-C455+1,NETWORKDAYS.INTL(C455,D455,Parámetros!$B$8,Parámetros!$D$12:$D$41)))</f>
        <v/>
      </c>
      <c r="F455" s="18" t="str">
        <f aca="false">IF(D455="","",IF(Parámetros!$B$6="Calendario",D455+1,WORKDAY.INTL(D455,1,Parámetros!$B$8,Parámetros!$D$12:$D$41)))</f>
        <v/>
      </c>
      <c r="G455" s="12"/>
      <c r="H455" s="6"/>
      <c r="I455" s="12"/>
      <c r="J455" s="6"/>
      <c r="K455" s="12"/>
    </row>
    <row r="456" customFormat="false" ht="15" hidden="false" customHeight="false" outlineLevel="0" collapsed="false">
      <c r="A456" s="6"/>
      <c r="B456" s="24" t="str">
        <f aca="false">IF(A456="","",IFERROR(INDEX(Empleados!$B$5:$B$64,MATCH(A456,Empleados!$A$5:$A$64,0)),"ID no encontrado"))</f>
        <v/>
      </c>
      <c r="C456" s="13"/>
      <c r="D456" s="13"/>
      <c r="E456" s="22" t="str">
        <f aca="false">IF(OR(C456="",D456=""),"",IF(Parámetros!$B$6="Calendario",D456-C456+1,NETWORKDAYS.INTL(C456,D456,Parámetros!$B$8,Parámetros!$D$12:$D$41)))</f>
        <v/>
      </c>
      <c r="F456" s="18" t="str">
        <f aca="false">IF(D456="","",IF(Parámetros!$B$6="Calendario",D456+1,WORKDAY.INTL(D456,1,Parámetros!$B$8,Parámetros!$D$12:$D$41)))</f>
        <v/>
      </c>
      <c r="G456" s="12"/>
      <c r="H456" s="6"/>
      <c r="I456" s="12"/>
      <c r="J456" s="6"/>
      <c r="K456" s="12"/>
    </row>
    <row r="457" customFormat="false" ht="15" hidden="false" customHeight="false" outlineLevel="0" collapsed="false">
      <c r="A457" s="6"/>
      <c r="B457" s="24" t="str">
        <f aca="false">IF(A457="","",IFERROR(INDEX(Empleados!$B$5:$B$64,MATCH(A457,Empleados!$A$5:$A$64,0)),"ID no encontrado"))</f>
        <v/>
      </c>
      <c r="C457" s="13"/>
      <c r="D457" s="13"/>
      <c r="E457" s="22" t="str">
        <f aca="false">IF(OR(C457="",D457=""),"",IF(Parámetros!$B$6="Calendario",D457-C457+1,NETWORKDAYS.INTL(C457,D457,Parámetros!$B$8,Parámetros!$D$12:$D$41)))</f>
        <v/>
      </c>
      <c r="F457" s="18" t="str">
        <f aca="false">IF(D457="","",IF(Parámetros!$B$6="Calendario",D457+1,WORKDAY.INTL(D457,1,Parámetros!$B$8,Parámetros!$D$12:$D$41)))</f>
        <v/>
      </c>
      <c r="G457" s="12"/>
      <c r="H457" s="6"/>
      <c r="I457" s="12"/>
      <c r="J457" s="6"/>
      <c r="K457" s="12"/>
    </row>
    <row r="458" customFormat="false" ht="15" hidden="false" customHeight="false" outlineLevel="0" collapsed="false">
      <c r="A458" s="6"/>
      <c r="B458" s="24" t="str">
        <f aca="false">IF(A458="","",IFERROR(INDEX(Empleados!$B$5:$B$64,MATCH(A458,Empleados!$A$5:$A$64,0)),"ID no encontrado"))</f>
        <v/>
      </c>
      <c r="C458" s="13"/>
      <c r="D458" s="13"/>
      <c r="E458" s="22" t="str">
        <f aca="false">IF(OR(C458="",D458=""),"",IF(Parámetros!$B$6="Calendario",D458-C458+1,NETWORKDAYS.INTL(C458,D458,Parámetros!$B$8,Parámetros!$D$12:$D$41)))</f>
        <v/>
      </c>
      <c r="F458" s="18" t="str">
        <f aca="false">IF(D458="","",IF(Parámetros!$B$6="Calendario",D458+1,WORKDAY.INTL(D458,1,Parámetros!$B$8,Parámetros!$D$12:$D$41)))</f>
        <v/>
      </c>
      <c r="G458" s="12"/>
      <c r="H458" s="6"/>
      <c r="I458" s="12"/>
      <c r="J458" s="6"/>
      <c r="K458" s="12"/>
    </row>
    <row r="459" customFormat="false" ht="15" hidden="false" customHeight="false" outlineLevel="0" collapsed="false">
      <c r="A459" s="6"/>
      <c r="B459" s="24" t="str">
        <f aca="false">IF(A459="","",IFERROR(INDEX(Empleados!$B$5:$B$64,MATCH(A459,Empleados!$A$5:$A$64,0)),"ID no encontrado"))</f>
        <v/>
      </c>
      <c r="C459" s="13"/>
      <c r="D459" s="13"/>
      <c r="E459" s="22" t="str">
        <f aca="false">IF(OR(C459="",D459=""),"",IF(Parámetros!$B$6="Calendario",D459-C459+1,NETWORKDAYS.INTL(C459,D459,Parámetros!$B$8,Parámetros!$D$12:$D$41)))</f>
        <v/>
      </c>
      <c r="F459" s="18" t="str">
        <f aca="false">IF(D459="","",IF(Parámetros!$B$6="Calendario",D459+1,WORKDAY.INTL(D459,1,Parámetros!$B$8,Parámetros!$D$12:$D$41)))</f>
        <v/>
      </c>
      <c r="G459" s="12"/>
      <c r="H459" s="6"/>
      <c r="I459" s="12"/>
      <c r="J459" s="6"/>
      <c r="K459" s="12"/>
    </row>
    <row r="460" customFormat="false" ht="15" hidden="false" customHeight="false" outlineLevel="0" collapsed="false">
      <c r="A460" s="6"/>
      <c r="B460" s="24" t="str">
        <f aca="false">IF(A460="","",IFERROR(INDEX(Empleados!$B$5:$B$64,MATCH(A460,Empleados!$A$5:$A$64,0)),"ID no encontrado"))</f>
        <v/>
      </c>
      <c r="C460" s="13"/>
      <c r="D460" s="13"/>
      <c r="E460" s="22" t="str">
        <f aca="false">IF(OR(C460="",D460=""),"",IF(Parámetros!$B$6="Calendario",D460-C460+1,NETWORKDAYS.INTL(C460,D460,Parámetros!$B$8,Parámetros!$D$12:$D$41)))</f>
        <v/>
      </c>
      <c r="F460" s="18" t="str">
        <f aca="false">IF(D460="","",IF(Parámetros!$B$6="Calendario",D460+1,WORKDAY.INTL(D460,1,Parámetros!$B$8,Parámetros!$D$12:$D$41)))</f>
        <v/>
      </c>
      <c r="G460" s="12"/>
      <c r="H460" s="6"/>
      <c r="I460" s="12"/>
      <c r="J460" s="6"/>
      <c r="K460" s="12"/>
    </row>
    <row r="461" customFormat="false" ht="15" hidden="false" customHeight="false" outlineLevel="0" collapsed="false">
      <c r="A461" s="6"/>
      <c r="B461" s="24" t="str">
        <f aca="false">IF(A461="","",IFERROR(INDEX(Empleados!$B$5:$B$64,MATCH(A461,Empleados!$A$5:$A$64,0)),"ID no encontrado"))</f>
        <v/>
      </c>
      <c r="C461" s="13"/>
      <c r="D461" s="13"/>
      <c r="E461" s="22" t="str">
        <f aca="false">IF(OR(C461="",D461=""),"",IF(Parámetros!$B$6="Calendario",D461-C461+1,NETWORKDAYS.INTL(C461,D461,Parámetros!$B$8,Parámetros!$D$12:$D$41)))</f>
        <v/>
      </c>
      <c r="F461" s="18" t="str">
        <f aca="false">IF(D461="","",IF(Parámetros!$B$6="Calendario",D461+1,WORKDAY.INTL(D461,1,Parámetros!$B$8,Parámetros!$D$12:$D$41)))</f>
        <v/>
      </c>
      <c r="G461" s="12"/>
      <c r="H461" s="6"/>
      <c r="I461" s="12"/>
      <c r="J461" s="6"/>
      <c r="K461" s="12"/>
    </row>
    <row r="462" customFormat="false" ht="15" hidden="false" customHeight="false" outlineLevel="0" collapsed="false">
      <c r="A462" s="6"/>
      <c r="B462" s="24" t="str">
        <f aca="false">IF(A462="","",IFERROR(INDEX(Empleados!$B$5:$B$64,MATCH(A462,Empleados!$A$5:$A$64,0)),"ID no encontrado"))</f>
        <v/>
      </c>
      <c r="C462" s="13"/>
      <c r="D462" s="13"/>
      <c r="E462" s="22" t="str">
        <f aca="false">IF(OR(C462="",D462=""),"",IF(Parámetros!$B$6="Calendario",D462-C462+1,NETWORKDAYS.INTL(C462,D462,Parámetros!$B$8,Parámetros!$D$12:$D$41)))</f>
        <v/>
      </c>
      <c r="F462" s="18" t="str">
        <f aca="false">IF(D462="","",IF(Parámetros!$B$6="Calendario",D462+1,WORKDAY.INTL(D462,1,Parámetros!$B$8,Parámetros!$D$12:$D$41)))</f>
        <v/>
      </c>
      <c r="G462" s="12"/>
      <c r="H462" s="6"/>
      <c r="I462" s="12"/>
      <c r="J462" s="6"/>
      <c r="K462" s="12"/>
    </row>
    <row r="463" customFormat="false" ht="15" hidden="false" customHeight="false" outlineLevel="0" collapsed="false">
      <c r="A463" s="6"/>
      <c r="B463" s="24" t="str">
        <f aca="false">IF(A463="","",IFERROR(INDEX(Empleados!$B$5:$B$64,MATCH(A463,Empleados!$A$5:$A$64,0)),"ID no encontrado"))</f>
        <v/>
      </c>
      <c r="C463" s="13"/>
      <c r="D463" s="13"/>
      <c r="E463" s="22" t="str">
        <f aca="false">IF(OR(C463="",D463=""),"",IF(Parámetros!$B$6="Calendario",D463-C463+1,NETWORKDAYS.INTL(C463,D463,Parámetros!$B$8,Parámetros!$D$12:$D$41)))</f>
        <v/>
      </c>
      <c r="F463" s="18" t="str">
        <f aca="false">IF(D463="","",IF(Parámetros!$B$6="Calendario",D463+1,WORKDAY.INTL(D463,1,Parámetros!$B$8,Parámetros!$D$12:$D$41)))</f>
        <v/>
      </c>
      <c r="G463" s="12"/>
      <c r="H463" s="6"/>
      <c r="I463" s="12"/>
      <c r="J463" s="6"/>
      <c r="K463" s="12"/>
    </row>
    <row r="464" customFormat="false" ht="15" hidden="false" customHeight="false" outlineLevel="0" collapsed="false">
      <c r="A464" s="6"/>
      <c r="B464" s="24" t="str">
        <f aca="false">IF(A464="","",IFERROR(INDEX(Empleados!$B$5:$B$64,MATCH(A464,Empleados!$A$5:$A$64,0)),"ID no encontrado"))</f>
        <v/>
      </c>
      <c r="C464" s="13"/>
      <c r="D464" s="13"/>
      <c r="E464" s="22" t="str">
        <f aca="false">IF(OR(C464="",D464=""),"",IF(Parámetros!$B$6="Calendario",D464-C464+1,NETWORKDAYS.INTL(C464,D464,Parámetros!$B$8,Parámetros!$D$12:$D$41)))</f>
        <v/>
      </c>
      <c r="F464" s="18" t="str">
        <f aca="false">IF(D464="","",IF(Parámetros!$B$6="Calendario",D464+1,WORKDAY.INTL(D464,1,Parámetros!$B$8,Parámetros!$D$12:$D$41)))</f>
        <v/>
      </c>
      <c r="G464" s="12"/>
      <c r="H464" s="6"/>
      <c r="I464" s="12"/>
      <c r="J464" s="6"/>
      <c r="K464" s="12"/>
    </row>
    <row r="465" customFormat="false" ht="15" hidden="false" customHeight="false" outlineLevel="0" collapsed="false">
      <c r="A465" s="6"/>
      <c r="B465" s="24" t="str">
        <f aca="false">IF(A465="","",IFERROR(INDEX(Empleados!$B$5:$B$64,MATCH(A465,Empleados!$A$5:$A$64,0)),"ID no encontrado"))</f>
        <v/>
      </c>
      <c r="C465" s="13"/>
      <c r="D465" s="13"/>
      <c r="E465" s="22" t="str">
        <f aca="false">IF(OR(C465="",D465=""),"",IF(Parámetros!$B$6="Calendario",D465-C465+1,NETWORKDAYS.INTL(C465,D465,Parámetros!$B$8,Parámetros!$D$12:$D$41)))</f>
        <v/>
      </c>
      <c r="F465" s="18" t="str">
        <f aca="false">IF(D465="","",IF(Parámetros!$B$6="Calendario",D465+1,WORKDAY.INTL(D465,1,Parámetros!$B$8,Parámetros!$D$12:$D$41)))</f>
        <v/>
      </c>
      <c r="G465" s="12"/>
      <c r="H465" s="6"/>
      <c r="I465" s="12"/>
      <c r="J465" s="6"/>
      <c r="K465" s="12"/>
    </row>
    <row r="466" customFormat="false" ht="15" hidden="false" customHeight="false" outlineLevel="0" collapsed="false">
      <c r="A466" s="6"/>
      <c r="B466" s="24" t="str">
        <f aca="false">IF(A466="","",IFERROR(INDEX(Empleados!$B$5:$B$64,MATCH(A466,Empleados!$A$5:$A$64,0)),"ID no encontrado"))</f>
        <v/>
      </c>
      <c r="C466" s="13"/>
      <c r="D466" s="13"/>
      <c r="E466" s="22" t="str">
        <f aca="false">IF(OR(C466="",D466=""),"",IF(Parámetros!$B$6="Calendario",D466-C466+1,NETWORKDAYS.INTL(C466,D466,Parámetros!$B$8,Parámetros!$D$12:$D$41)))</f>
        <v/>
      </c>
      <c r="F466" s="18" t="str">
        <f aca="false">IF(D466="","",IF(Parámetros!$B$6="Calendario",D466+1,WORKDAY.INTL(D466,1,Parámetros!$B$8,Parámetros!$D$12:$D$41)))</f>
        <v/>
      </c>
      <c r="G466" s="12"/>
      <c r="H466" s="6"/>
      <c r="I466" s="12"/>
      <c r="J466" s="6"/>
      <c r="K466" s="12"/>
    </row>
    <row r="467" customFormat="false" ht="15" hidden="false" customHeight="false" outlineLevel="0" collapsed="false">
      <c r="A467" s="6"/>
      <c r="B467" s="24" t="str">
        <f aca="false">IF(A467="","",IFERROR(INDEX(Empleados!$B$5:$B$64,MATCH(A467,Empleados!$A$5:$A$64,0)),"ID no encontrado"))</f>
        <v/>
      </c>
      <c r="C467" s="13"/>
      <c r="D467" s="13"/>
      <c r="E467" s="22" t="str">
        <f aca="false">IF(OR(C467="",D467=""),"",IF(Parámetros!$B$6="Calendario",D467-C467+1,NETWORKDAYS.INTL(C467,D467,Parámetros!$B$8,Parámetros!$D$12:$D$41)))</f>
        <v/>
      </c>
      <c r="F467" s="18" t="str">
        <f aca="false">IF(D467="","",IF(Parámetros!$B$6="Calendario",D467+1,WORKDAY.INTL(D467,1,Parámetros!$B$8,Parámetros!$D$12:$D$41)))</f>
        <v/>
      </c>
      <c r="G467" s="12"/>
      <c r="H467" s="6"/>
      <c r="I467" s="12"/>
      <c r="J467" s="6"/>
      <c r="K467" s="12"/>
    </row>
    <row r="468" customFormat="false" ht="15" hidden="false" customHeight="false" outlineLevel="0" collapsed="false">
      <c r="A468" s="6"/>
      <c r="B468" s="24" t="str">
        <f aca="false">IF(A468="","",IFERROR(INDEX(Empleados!$B$5:$B$64,MATCH(A468,Empleados!$A$5:$A$64,0)),"ID no encontrado"))</f>
        <v/>
      </c>
      <c r="C468" s="13"/>
      <c r="D468" s="13"/>
      <c r="E468" s="22" t="str">
        <f aca="false">IF(OR(C468="",D468=""),"",IF(Parámetros!$B$6="Calendario",D468-C468+1,NETWORKDAYS.INTL(C468,D468,Parámetros!$B$8,Parámetros!$D$12:$D$41)))</f>
        <v/>
      </c>
      <c r="F468" s="18" t="str">
        <f aca="false">IF(D468="","",IF(Parámetros!$B$6="Calendario",D468+1,WORKDAY.INTL(D468,1,Parámetros!$B$8,Parámetros!$D$12:$D$41)))</f>
        <v/>
      </c>
      <c r="G468" s="12"/>
      <c r="H468" s="6"/>
      <c r="I468" s="12"/>
      <c r="J468" s="6"/>
      <c r="K468" s="12"/>
    </row>
    <row r="469" customFormat="false" ht="15" hidden="false" customHeight="false" outlineLevel="0" collapsed="false">
      <c r="A469" s="6"/>
      <c r="B469" s="24" t="str">
        <f aca="false">IF(A469="","",IFERROR(INDEX(Empleados!$B$5:$B$64,MATCH(A469,Empleados!$A$5:$A$64,0)),"ID no encontrado"))</f>
        <v/>
      </c>
      <c r="C469" s="13"/>
      <c r="D469" s="13"/>
      <c r="E469" s="22" t="str">
        <f aca="false">IF(OR(C469="",D469=""),"",IF(Parámetros!$B$6="Calendario",D469-C469+1,NETWORKDAYS.INTL(C469,D469,Parámetros!$B$8,Parámetros!$D$12:$D$41)))</f>
        <v/>
      </c>
      <c r="F469" s="18" t="str">
        <f aca="false">IF(D469="","",IF(Parámetros!$B$6="Calendario",D469+1,WORKDAY.INTL(D469,1,Parámetros!$B$8,Parámetros!$D$12:$D$41)))</f>
        <v/>
      </c>
      <c r="G469" s="12"/>
      <c r="H469" s="6"/>
      <c r="I469" s="12"/>
      <c r="J469" s="6"/>
      <c r="K469" s="12"/>
    </row>
    <row r="470" customFormat="false" ht="15" hidden="false" customHeight="false" outlineLevel="0" collapsed="false">
      <c r="A470" s="6"/>
      <c r="B470" s="24" t="str">
        <f aca="false">IF(A470="","",IFERROR(INDEX(Empleados!$B$5:$B$64,MATCH(A470,Empleados!$A$5:$A$64,0)),"ID no encontrado"))</f>
        <v/>
      </c>
      <c r="C470" s="13"/>
      <c r="D470" s="13"/>
      <c r="E470" s="22" t="str">
        <f aca="false">IF(OR(C470="",D470=""),"",IF(Parámetros!$B$6="Calendario",D470-C470+1,NETWORKDAYS.INTL(C470,D470,Parámetros!$B$8,Parámetros!$D$12:$D$41)))</f>
        <v/>
      </c>
      <c r="F470" s="18" t="str">
        <f aca="false">IF(D470="","",IF(Parámetros!$B$6="Calendario",D470+1,WORKDAY.INTL(D470,1,Parámetros!$B$8,Parámetros!$D$12:$D$41)))</f>
        <v/>
      </c>
      <c r="G470" s="12"/>
      <c r="H470" s="6"/>
      <c r="I470" s="12"/>
      <c r="J470" s="6"/>
      <c r="K470" s="12"/>
    </row>
    <row r="471" customFormat="false" ht="15" hidden="false" customHeight="false" outlineLevel="0" collapsed="false">
      <c r="A471" s="6"/>
      <c r="B471" s="24" t="str">
        <f aca="false">IF(A471="","",IFERROR(INDEX(Empleados!$B$5:$B$64,MATCH(A471,Empleados!$A$5:$A$64,0)),"ID no encontrado"))</f>
        <v/>
      </c>
      <c r="C471" s="13"/>
      <c r="D471" s="13"/>
      <c r="E471" s="22" t="str">
        <f aca="false">IF(OR(C471="",D471=""),"",IF(Parámetros!$B$6="Calendario",D471-C471+1,NETWORKDAYS.INTL(C471,D471,Parámetros!$B$8,Parámetros!$D$12:$D$41)))</f>
        <v/>
      </c>
      <c r="F471" s="18" t="str">
        <f aca="false">IF(D471="","",IF(Parámetros!$B$6="Calendario",D471+1,WORKDAY.INTL(D471,1,Parámetros!$B$8,Parámetros!$D$12:$D$41)))</f>
        <v/>
      </c>
      <c r="G471" s="12"/>
      <c r="H471" s="6"/>
      <c r="I471" s="12"/>
      <c r="J471" s="6"/>
      <c r="K471" s="12"/>
    </row>
    <row r="472" customFormat="false" ht="15" hidden="false" customHeight="false" outlineLevel="0" collapsed="false">
      <c r="A472" s="6"/>
      <c r="B472" s="24" t="str">
        <f aca="false">IF(A472="","",IFERROR(INDEX(Empleados!$B$5:$B$64,MATCH(A472,Empleados!$A$5:$A$64,0)),"ID no encontrado"))</f>
        <v/>
      </c>
      <c r="C472" s="13"/>
      <c r="D472" s="13"/>
      <c r="E472" s="22" t="str">
        <f aca="false">IF(OR(C472="",D472=""),"",IF(Parámetros!$B$6="Calendario",D472-C472+1,NETWORKDAYS.INTL(C472,D472,Parámetros!$B$8,Parámetros!$D$12:$D$41)))</f>
        <v/>
      </c>
      <c r="F472" s="18" t="str">
        <f aca="false">IF(D472="","",IF(Parámetros!$B$6="Calendario",D472+1,WORKDAY.INTL(D472,1,Parámetros!$B$8,Parámetros!$D$12:$D$41)))</f>
        <v/>
      </c>
      <c r="G472" s="12"/>
      <c r="H472" s="6"/>
      <c r="I472" s="12"/>
      <c r="J472" s="6"/>
      <c r="K472" s="12"/>
    </row>
    <row r="473" customFormat="false" ht="15" hidden="false" customHeight="false" outlineLevel="0" collapsed="false">
      <c r="A473" s="6"/>
      <c r="B473" s="24" t="str">
        <f aca="false">IF(A473="","",IFERROR(INDEX(Empleados!$B$5:$B$64,MATCH(A473,Empleados!$A$5:$A$64,0)),"ID no encontrado"))</f>
        <v/>
      </c>
      <c r="C473" s="13"/>
      <c r="D473" s="13"/>
      <c r="E473" s="22" t="str">
        <f aca="false">IF(OR(C473="",D473=""),"",IF(Parámetros!$B$6="Calendario",D473-C473+1,NETWORKDAYS.INTL(C473,D473,Parámetros!$B$8,Parámetros!$D$12:$D$41)))</f>
        <v/>
      </c>
      <c r="F473" s="18" t="str">
        <f aca="false">IF(D473="","",IF(Parámetros!$B$6="Calendario",D473+1,WORKDAY.INTL(D473,1,Parámetros!$B$8,Parámetros!$D$12:$D$41)))</f>
        <v/>
      </c>
      <c r="G473" s="12"/>
      <c r="H473" s="6"/>
      <c r="I473" s="12"/>
      <c r="J473" s="6"/>
      <c r="K473" s="12"/>
    </row>
    <row r="474" customFormat="false" ht="15" hidden="false" customHeight="false" outlineLevel="0" collapsed="false">
      <c r="A474" s="6"/>
      <c r="B474" s="24" t="str">
        <f aca="false">IF(A474="","",IFERROR(INDEX(Empleados!$B$5:$B$64,MATCH(A474,Empleados!$A$5:$A$64,0)),"ID no encontrado"))</f>
        <v/>
      </c>
      <c r="C474" s="13"/>
      <c r="D474" s="13"/>
      <c r="E474" s="22" t="str">
        <f aca="false">IF(OR(C474="",D474=""),"",IF(Parámetros!$B$6="Calendario",D474-C474+1,NETWORKDAYS.INTL(C474,D474,Parámetros!$B$8,Parámetros!$D$12:$D$41)))</f>
        <v/>
      </c>
      <c r="F474" s="18" t="str">
        <f aca="false">IF(D474="","",IF(Parámetros!$B$6="Calendario",D474+1,WORKDAY.INTL(D474,1,Parámetros!$B$8,Parámetros!$D$12:$D$41)))</f>
        <v/>
      </c>
      <c r="G474" s="12"/>
      <c r="H474" s="6"/>
      <c r="I474" s="12"/>
      <c r="J474" s="6"/>
      <c r="K474" s="12"/>
    </row>
    <row r="475" customFormat="false" ht="15" hidden="false" customHeight="false" outlineLevel="0" collapsed="false">
      <c r="A475" s="6"/>
      <c r="B475" s="24" t="str">
        <f aca="false">IF(A475="","",IFERROR(INDEX(Empleados!$B$5:$B$64,MATCH(A475,Empleados!$A$5:$A$64,0)),"ID no encontrado"))</f>
        <v/>
      </c>
      <c r="C475" s="13"/>
      <c r="D475" s="13"/>
      <c r="E475" s="22" t="str">
        <f aca="false">IF(OR(C475="",D475=""),"",IF(Parámetros!$B$6="Calendario",D475-C475+1,NETWORKDAYS.INTL(C475,D475,Parámetros!$B$8,Parámetros!$D$12:$D$41)))</f>
        <v/>
      </c>
      <c r="F475" s="18" t="str">
        <f aca="false">IF(D475="","",IF(Parámetros!$B$6="Calendario",D475+1,WORKDAY.INTL(D475,1,Parámetros!$B$8,Parámetros!$D$12:$D$41)))</f>
        <v/>
      </c>
      <c r="G475" s="12"/>
      <c r="H475" s="6"/>
      <c r="I475" s="12"/>
      <c r="J475" s="6"/>
      <c r="K475" s="12"/>
    </row>
    <row r="476" customFormat="false" ht="15" hidden="false" customHeight="false" outlineLevel="0" collapsed="false">
      <c r="A476" s="6"/>
      <c r="B476" s="24" t="str">
        <f aca="false">IF(A476="","",IFERROR(INDEX(Empleados!$B$5:$B$64,MATCH(A476,Empleados!$A$5:$A$64,0)),"ID no encontrado"))</f>
        <v/>
      </c>
      <c r="C476" s="13"/>
      <c r="D476" s="13"/>
      <c r="E476" s="22" t="str">
        <f aca="false">IF(OR(C476="",D476=""),"",IF(Parámetros!$B$6="Calendario",D476-C476+1,NETWORKDAYS.INTL(C476,D476,Parámetros!$B$8,Parámetros!$D$12:$D$41)))</f>
        <v/>
      </c>
      <c r="F476" s="18" t="str">
        <f aca="false">IF(D476="","",IF(Parámetros!$B$6="Calendario",D476+1,WORKDAY.INTL(D476,1,Parámetros!$B$8,Parámetros!$D$12:$D$41)))</f>
        <v/>
      </c>
      <c r="G476" s="12"/>
      <c r="H476" s="6"/>
      <c r="I476" s="12"/>
      <c r="J476" s="6"/>
      <c r="K476" s="12"/>
    </row>
    <row r="477" customFormat="false" ht="15" hidden="false" customHeight="false" outlineLevel="0" collapsed="false">
      <c r="A477" s="6"/>
      <c r="B477" s="24" t="str">
        <f aca="false">IF(A477="","",IFERROR(INDEX(Empleados!$B$5:$B$64,MATCH(A477,Empleados!$A$5:$A$64,0)),"ID no encontrado"))</f>
        <v/>
      </c>
      <c r="C477" s="13"/>
      <c r="D477" s="13"/>
      <c r="E477" s="22" t="str">
        <f aca="false">IF(OR(C477="",D477=""),"",IF(Parámetros!$B$6="Calendario",D477-C477+1,NETWORKDAYS.INTL(C477,D477,Parámetros!$B$8,Parámetros!$D$12:$D$41)))</f>
        <v/>
      </c>
      <c r="F477" s="18" t="str">
        <f aca="false">IF(D477="","",IF(Parámetros!$B$6="Calendario",D477+1,WORKDAY.INTL(D477,1,Parámetros!$B$8,Parámetros!$D$12:$D$41)))</f>
        <v/>
      </c>
      <c r="G477" s="12"/>
      <c r="H477" s="6"/>
      <c r="I477" s="12"/>
      <c r="J477" s="6"/>
      <c r="K477" s="12"/>
    </row>
    <row r="478" customFormat="false" ht="15" hidden="false" customHeight="false" outlineLevel="0" collapsed="false">
      <c r="A478" s="6"/>
      <c r="B478" s="24" t="str">
        <f aca="false">IF(A478="","",IFERROR(INDEX(Empleados!$B$5:$B$64,MATCH(A478,Empleados!$A$5:$A$64,0)),"ID no encontrado"))</f>
        <v/>
      </c>
      <c r="C478" s="13"/>
      <c r="D478" s="13"/>
      <c r="E478" s="22" t="str">
        <f aca="false">IF(OR(C478="",D478=""),"",IF(Parámetros!$B$6="Calendario",D478-C478+1,NETWORKDAYS.INTL(C478,D478,Parámetros!$B$8,Parámetros!$D$12:$D$41)))</f>
        <v/>
      </c>
      <c r="F478" s="18" t="str">
        <f aca="false">IF(D478="","",IF(Parámetros!$B$6="Calendario",D478+1,WORKDAY.INTL(D478,1,Parámetros!$B$8,Parámetros!$D$12:$D$41)))</f>
        <v/>
      </c>
      <c r="G478" s="12"/>
      <c r="H478" s="6"/>
      <c r="I478" s="12"/>
      <c r="J478" s="6"/>
      <c r="K478" s="12"/>
    </row>
    <row r="479" customFormat="false" ht="15" hidden="false" customHeight="false" outlineLevel="0" collapsed="false">
      <c r="A479" s="6"/>
      <c r="B479" s="24" t="str">
        <f aca="false">IF(A479="","",IFERROR(INDEX(Empleados!$B$5:$B$64,MATCH(A479,Empleados!$A$5:$A$64,0)),"ID no encontrado"))</f>
        <v/>
      </c>
      <c r="C479" s="13"/>
      <c r="D479" s="13"/>
      <c r="E479" s="22" t="str">
        <f aca="false">IF(OR(C479="",D479=""),"",IF(Parámetros!$B$6="Calendario",D479-C479+1,NETWORKDAYS.INTL(C479,D479,Parámetros!$B$8,Parámetros!$D$12:$D$41)))</f>
        <v/>
      </c>
      <c r="F479" s="18" t="str">
        <f aca="false">IF(D479="","",IF(Parámetros!$B$6="Calendario",D479+1,WORKDAY.INTL(D479,1,Parámetros!$B$8,Parámetros!$D$12:$D$41)))</f>
        <v/>
      </c>
      <c r="G479" s="12"/>
      <c r="H479" s="6"/>
      <c r="I479" s="12"/>
      <c r="J479" s="6"/>
      <c r="K479" s="12"/>
    </row>
    <row r="480" customFormat="false" ht="15" hidden="false" customHeight="false" outlineLevel="0" collapsed="false">
      <c r="A480" s="6"/>
      <c r="B480" s="24" t="str">
        <f aca="false">IF(A480="","",IFERROR(INDEX(Empleados!$B$5:$B$64,MATCH(A480,Empleados!$A$5:$A$64,0)),"ID no encontrado"))</f>
        <v/>
      </c>
      <c r="C480" s="13"/>
      <c r="D480" s="13"/>
      <c r="E480" s="22" t="str">
        <f aca="false">IF(OR(C480="",D480=""),"",IF(Parámetros!$B$6="Calendario",D480-C480+1,NETWORKDAYS.INTL(C480,D480,Parámetros!$B$8,Parámetros!$D$12:$D$41)))</f>
        <v/>
      </c>
      <c r="F480" s="18" t="str">
        <f aca="false">IF(D480="","",IF(Parámetros!$B$6="Calendario",D480+1,WORKDAY.INTL(D480,1,Parámetros!$B$8,Parámetros!$D$12:$D$41)))</f>
        <v/>
      </c>
      <c r="G480" s="12"/>
      <c r="H480" s="6"/>
      <c r="I480" s="12"/>
      <c r="J480" s="6"/>
      <c r="K480" s="12"/>
    </row>
    <row r="481" customFormat="false" ht="15" hidden="false" customHeight="false" outlineLevel="0" collapsed="false">
      <c r="A481" s="6"/>
      <c r="B481" s="24" t="str">
        <f aca="false">IF(A481="","",IFERROR(INDEX(Empleados!$B$5:$B$64,MATCH(A481,Empleados!$A$5:$A$64,0)),"ID no encontrado"))</f>
        <v/>
      </c>
      <c r="C481" s="13"/>
      <c r="D481" s="13"/>
      <c r="E481" s="22" t="str">
        <f aca="false">IF(OR(C481="",D481=""),"",IF(Parámetros!$B$6="Calendario",D481-C481+1,NETWORKDAYS.INTL(C481,D481,Parámetros!$B$8,Parámetros!$D$12:$D$41)))</f>
        <v/>
      </c>
      <c r="F481" s="18" t="str">
        <f aca="false">IF(D481="","",IF(Parámetros!$B$6="Calendario",D481+1,WORKDAY.INTL(D481,1,Parámetros!$B$8,Parámetros!$D$12:$D$41)))</f>
        <v/>
      </c>
      <c r="G481" s="12"/>
      <c r="H481" s="6"/>
      <c r="I481" s="12"/>
      <c r="J481" s="6"/>
      <c r="K481" s="12"/>
    </row>
    <row r="482" customFormat="false" ht="15" hidden="false" customHeight="false" outlineLevel="0" collapsed="false">
      <c r="A482" s="6"/>
      <c r="B482" s="24" t="str">
        <f aca="false">IF(A482="","",IFERROR(INDEX(Empleados!$B$5:$B$64,MATCH(A482,Empleados!$A$5:$A$64,0)),"ID no encontrado"))</f>
        <v/>
      </c>
      <c r="C482" s="13"/>
      <c r="D482" s="13"/>
      <c r="E482" s="22" t="str">
        <f aca="false">IF(OR(C482="",D482=""),"",IF(Parámetros!$B$6="Calendario",D482-C482+1,NETWORKDAYS.INTL(C482,D482,Parámetros!$B$8,Parámetros!$D$12:$D$41)))</f>
        <v/>
      </c>
      <c r="F482" s="18" t="str">
        <f aca="false">IF(D482="","",IF(Parámetros!$B$6="Calendario",D482+1,WORKDAY.INTL(D482,1,Parámetros!$B$8,Parámetros!$D$12:$D$41)))</f>
        <v/>
      </c>
      <c r="G482" s="12"/>
      <c r="H482" s="6"/>
      <c r="I482" s="12"/>
      <c r="J482" s="6"/>
      <c r="K482" s="12"/>
    </row>
    <row r="483" customFormat="false" ht="15" hidden="false" customHeight="false" outlineLevel="0" collapsed="false">
      <c r="A483" s="6"/>
      <c r="B483" s="24" t="str">
        <f aca="false">IF(A483="","",IFERROR(INDEX(Empleados!$B$5:$B$64,MATCH(A483,Empleados!$A$5:$A$64,0)),"ID no encontrado"))</f>
        <v/>
      </c>
      <c r="C483" s="13"/>
      <c r="D483" s="13"/>
      <c r="E483" s="22" t="str">
        <f aca="false">IF(OR(C483="",D483=""),"",IF(Parámetros!$B$6="Calendario",D483-C483+1,NETWORKDAYS.INTL(C483,D483,Parámetros!$B$8,Parámetros!$D$12:$D$41)))</f>
        <v/>
      </c>
      <c r="F483" s="18" t="str">
        <f aca="false">IF(D483="","",IF(Parámetros!$B$6="Calendario",D483+1,WORKDAY.INTL(D483,1,Parámetros!$B$8,Parámetros!$D$12:$D$41)))</f>
        <v/>
      </c>
      <c r="G483" s="12"/>
      <c r="H483" s="6"/>
      <c r="I483" s="12"/>
      <c r="J483" s="6"/>
      <c r="K483" s="12"/>
    </row>
    <row r="484" customFormat="false" ht="15" hidden="false" customHeight="false" outlineLevel="0" collapsed="false">
      <c r="A484" s="6"/>
      <c r="B484" s="24" t="str">
        <f aca="false">IF(A484="","",IFERROR(INDEX(Empleados!$B$5:$B$64,MATCH(A484,Empleados!$A$5:$A$64,0)),"ID no encontrado"))</f>
        <v/>
      </c>
      <c r="C484" s="13"/>
      <c r="D484" s="13"/>
      <c r="E484" s="22" t="str">
        <f aca="false">IF(OR(C484="",D484=""),"",IF(Parámetros!$B$6="Calendario",D484-C484+1,NETWORKDAYS.INTL(C484,D484,Parámetros!$B$8,Parámetros!$D$12:$D$41)))</f>
        <v/>
      </c>
      <c r="F484" s="18" t="str">
        <f aca="false">IF(D484="","",IF(Parámetros!$B$6="Calendario",D484+1,WORKDAY.INTL(D484,1,Parámetros!$B$8,Parámetros!$D$12:$D$41)))</f>
        <v/>
      </c>
      <c r="G484" s="12"/>
      <c r="H484" s="6"/>
      <c r="I484" s="12"/>
      <c r="J484" s="6"/>
      <c r="K484" s="12"/>
    </row>
    <row r="485" customFormat="false" ht="15" hidden="false" customHeight="false" outlineLevel="0" collapsed="false">
      <c r="A485" s="6"/>
      <c r="B485" s="24" t="str">
        <f aca="false">IF(A485="","",IFERROR(INDEX(Empleados!$B$5:$B$64,MATCH(A485,Empleados!$A$5:$A$64,0)),"ID no encontrado"))</f>
        <v/>
      </c>
      <c r="C485" s="13"/>
      <c r="D485" s="13"/>
      <c r="E485" s="22" t="str">
        <f aca="false">IF(OR(C485="",D485=""),"",IF(Parámetros!$B$6="Calendario",D485-C485+1,NETWORKDAYS.INTL(C485,D485,Parámetros!$B$8,Parámetros!$D$12:$D$41)))</f>
        <v/>
      </c>
      <c r="F485" s="18" t="str">
        <f aca="false">IF(D485="","",IF(Parámetros!$B$6="Calendario",D485+1,WORKDAY.INTL(D485,1,Parámetros!$B$8,Parámetros!$D$12:$D$41)))</f>
        <v/>
      </c>
      <c r="G485" s="12"/>
      <c r="H485" s="6"/>
      <c r="I485" s="12"/>
      <c r="J485" s="6"/>
      <c r="K485" s="12"/>
    </row>
    <row r="486" customFormat="false" ht="15" hidden="false" customHeight="false" outlineLevel="0" collapsed="false">
      <c r="A486" s="6"/>
      <c r="B486" s="24" t="str">
        <f aca="false">IF(A486="","",IFERROR(INDEX(Empleados!$B$5:$B$64,MATCH(A486,Empleados!$A$5:$A$64,0)),"ID no encontrado"))</f>
        <v/>
      </c>
      <c r="C486" s="13"/>
      <c r="D486" s="13"/>
      <c r="E486" s="22" t="str">
        <f aca="false">IF(OR(C486="",D486=""),"",IF(Parámetros!$B$6="Calendario",D486-C486+1,NETWORKDAYS.INTL(C486,D486,Parámetros!$B$8,Parámetros!$D$12:$D$41)))</f>
        <v/>
      </c>
      <c r="F486" s="18" t="str">
        <f aca="false">IF(D486="","",IF(Parámetros!$B$6="Calendario",D486+1,WORKDAY.INTL(D486,1,Parámetros!$B$8,Parámetros!$D$12:$D$41)))</f>
        <v/>
      </c>
      <c r="G486" s="12"/>
      <c r="H486" s="6"/>
      <c r="I486" s="12"/>
      <c r="J486" s="6"/>
      <c r="K486" s="12"/>
    </row>
    <row r="487" customFormat="false" ht="15" hidden="false" customHeight="false" outlineLevel="0" collapsed="false">
      <c r="A487" s="6"/>
      <c r="B487" s="24" t="str">
        <f aca="false">IF(A487="","",IFERROR(INDEX(Empleados!$B$5:$B$64,MATCH(A487,Empleados!$A$5:$A$64,0)),"ID no encontrado"))</f>
        <v/>
      </c>
      <c r="C487" s="13"/>
      <c r="D487" s="13"/>
      <c r="E487" s="22" t="str">
        <f aca="false">IF(OR(C487="",D487=""),"",IF(Parámetros!$B$6="Calendario",D487-C487+1,NETWORKDAYS.INTL(C487,D487,Parámetros!$B$8,Parámetros!$D$12:$D$41)))</f>
        <v/>
      </c>
      <c r="F487" s="18" t="str">
        <f aca="false">IF(D487="","",IF(Parámetros!$B$6="Calendario",D487+1,WORKDAY.INTL(D487,1,Parámetros!$B$8,Parámetros!$D$12:$D$41)))</f>
        <v/>
      </c>
      <c r="G487" s="12"/>
      <c r="H487" s="6"/>
      <c r="I487" s="12"/>
      <c r="J487" s="6"/>
      <c r="K487" s="12"/>
    </row>
    <row r="488" customFormat="false" ht="15" hidden="false" customHeight="false" outlineLevel="0" collapsed="false">
      <c r="A488" s="6"/>
      <c r="B488" s="24" t="str">
        <f aca="false">IF(A488="","",IFERROR(INDEX(Empleados!$B$5:$B$64,MATCH(A488,Empleados!$A$5:$A$64,0)),"ID no encontrado"))</f>
        <v/>
      </c>
      <c r="C488" s="13"/>
      <c r="D488" s="13"/>
      <c r="E488" s="22" t="str">
        <f aca="false">IF(OR(C488="",D488=""),"",IF(Parámetros!$B$6="Calendario",D488-C488+1,NETWORKDAYS.INTL(C488,D488,Parámetros!$B$8,Parámetros!$D$12:$D$41)))</f>
        <v/>
      </c>
      <c r="F488" s="18" t="str">
        <f aca="false">IF(D488="","",IF(Parámetros!$B$6="Calendario",D488+1,WORKDAY.INTL(D488,1,Parámetros!$B$8,Parámetros!$D$12:$D$41)))</f>
        <v/>
      </c>
      <c r="G488" s="12"/>
      <c r="H488" s="6"/>
      <c r="I488" s="12"/>
      <c r="J488" s="6"/>
      <c r="K488" s="12"/>
    </row>
    <row r="489" customFormat="false" ht="15" hidden="false" customHeight="false" outlineLevel="0" collapsed="false">
      <c r="A489" s="6"/>
      <c r="B489" s="24" t="str">
        <f aca="false">IF(A489="","",IFERROR(INDEX(Empleados!$B$5:$B$64,MATCH(A489,Empleados!$A$5:$A$64,0)),"ID no encontrado"))</f>
        <v/>
      </c>
      <c r="C489" s="13"/>
      <c r="D489" s="13"/>
      <c r="E489" s="22" t="str">
        <f aca="false">IF(OR(C489="",D489=""),"",IF(Parámetros!$B$6="Calendario",D489-C489+1,NETWORKDAYS.INTL(C489,D489,Parámetros!$B$8,Parámetros!$D$12:$D$41)))</f>
        <v/>
      </c>
      <c r="F489" s="18" t="str">
        <f aca="false">IF(D489="","",IF(Parámetros!$B$6="Calendario",D489+1,WORKDAY.INTL(D489,1,Parámetros!$B$8,Parámetros!$D$12:$D$41)))</f>
        <v/>
      </c>
      <c r="G489" s="12"/>
      <c r="H489" s="6"/>
      <c r="I489" s="12"/>
      <c r="J489" s="6"/>
      <c r="K489" s="12"/>
    </row>
    <row r="490" customFormat="false" ht="15" hidden="false" customHeight="false" outlineLevel="0" collapsed="false">
      <c r="A490" s="6"/>
      <c r="B490" s="24" t="str">
        <f aca="false">IF(A490="","",IFERROR(INDEX(Empleados!$B$5:$B$64,MATCH(A490,Empleados!$A$5:$A$64,0)),"ID no encontrado"))</f>
        <v/>
      </c>
      <c r="C490" s="13"/>
      <c r="D490" s="13"/>
      <c r="E490" s="22" t="str">
        <f aca="false">IF(OR(C490="",D490=""),"",IF(Parámetros!$B$6="Calendario",D490-C490+1,NETWORKDAYS.INTL(C490,D490,Parámetros!$B$8,Parámetros!$D$12:$D$41)))</f>
        <v/>
      </c>
      <c r="F490" s="18" t="str">
        <f aca="false">IF(D490="","",IF(Parámetros!$B$6="Calendario",D490+1,WORKDAY.INTL(D490,1,Parámetros!$B$8,Parámetros!$D$12:$D$41)))</f>
        <v/>
      </c>
      <c r="G490" s="12"/>
      <c r="H490" s="6"/>
      <c r="I490" s="12"/>
      <c r="J490" s="6"/>
      <c r="K490" s="12"/>
    </row>
    <row r="491" customFormat="false" ht="15" hidden="false" customHeight="false" outlineLevel="0" collapsed="false">
      <c r="A491" s="6"/>
      <c r="B491" s="24" t="str">
        <f aca="false">IF(A491="","",IFERROR(INDEX(Empleados!$B$5:$B$64,MATCH(A491,Empleados!$A$5:$A$64,0)),"ID no encontrado"))</f>
        <v/>
      </c>
      <c r="C491" s="13"/>
      <c r="D491" s="13"/>
      <c r="E491" s="22" t="str">
        <f aca="false">IF(OR(C491="",D491=""),"",IF(Parámetros!$B$6="Calendario",D491-C491+1,NETWORKDAYS.INTL(C491,D491,Parámetros!$B$8,Parámetros!$D$12:$D$41)))</f>
        <v/>
      </c>
      <c r="F491" s="18" t="str">
        <f aca="false">IF(D491="","",IF(Parámetros!$B$6="Calendario",D491+1,WORKDAY.INTL(D491,1,Parámetros!$B$8,Parámetros!$D$12:$D$41)))</f>
        <v/>
      </c>
      <c r="G491" s="12"/>
      <c r="H491" s="6"/>
      <c r="I491" s="12"/>
      <c r="J491" s="6"/>
      <c r="K491" s="12"/>
    </row>
    <row r="492" customFormat="false" ht="15" hidden="false" customHeight="false" outlineLevel="0" collapsed="false">
      <c r="A492" s="6"/>
      <c r="B492" s="24" t="str">
        <f aca="false">IF(A492="","",IFERROR(INDEX(Empleados!$B$5:$B$64,MATCH(A492,Empleados!$A$5:$A$64,0)),"ID no encontrado"))</f>
        <v/>
      </c>
      <c r="C492" s="13"/>
      <c r="D492" s="13"/>
      <c r="E492" s="22" t="str">
        <f aca="false">IF(OR(C492="",D492=""),"",IF(Parámetros!$B$6="Calendario",D492-C492+1,NETWORKDAYS.INTL(C492,D492,Parámetros!$B$8,Parámetros!$D$12:$D$41)))</f>
        <v/>
      </c>
      <c r="F492" s="18" t="str">
        <f aca="false">IF(D492="","",IF(Parámetros!$B$6="Calendario",D492+1,WORKDAY.INTL(D492,1,Parámetros!$B$8,Parámetros!$D$12:$D$41)))</f>
        <v/>
      </c>
      <c r="G492" s="12"/>
      <c r="H492" s="6"/>
      <c r="I492" s="12"/>
      <c r="J492" s="6"/>
      <c r="K492" s="12"/>
    </row>
    <row r="493" customFormat="false" ht="15" hidden="false" customHeight="false" outlineLevel="0" collapsed="false">
      <c r="A493" s="6"/>
      <c r="B493" s="24" t="str">
        <f aca="false">IF(A493="","",IFERROR(INDEX(Empleados!$B$5:$B$64,MATCH(A493,Empleados!$A$5:$A$64,0)),"ID no encontrado"))</f>
        <v/>
      </c>
      <c r="C493" s="13"/>
      <c r="D493" s="13"/>
      <c r="E493" s="22" t="str">
        <f aca="false">IF(OR(C493="",D493=""),"",IF(Parámetros!$B$6="Calendario",D493-C493+1,NETWORKDAYS.INTL(C493,D493,Parámetros!$B$8,Parámetros!$D$12:$D$41)))</f>
        <v/>
      </c>
      <c r="F493" s="18" t="str">
        <f aca="false">IF(D493="","",IF(Parámetros!$B$6="Calendario",D493+1,WORKDAY.INTL(D493,1,Parámetros!$B$8,Parámetros!$D$12:$D$41)))</f>
        <v/>
      </c>
      <c r="G493" s="12"/>
      <c r="H493" s="6"/>
      <c r="I493" s="12"/>
      <c r="J493" s="6"/>
      <c r="K493" s="12"/>
    </row>
    <row r="494" customFormat="false" ht="15" hidden="false" customHeight="false" outlineLevel="0" collapsed="false">
      <c r="A494" s="6"/>
      <c r="B494" s="24" t="str">
        <f aca="false">IF(A494="","",IFERROR(INDEX(Empleados!$B$5:$B$64,MATCH(A494,Empleados!$A$5:$A$64,0)),"ID no encontrado"))</f>
        <v/>
      </c>
      <c r="C494" s="13"/>
      <c r="D494" s="13"/>
      <c r="E494" s="22" t="str">
        <f aca="false">IF(OR(C494="",D494=""),"",IF(Parámetros!$B$6="Calendario",D494-C494+1,NETWORKDAYS.INTL(C494,D494,Parámetros!$B$8,Parámetros!$D$12:$D$41)))</f>
        <v/>
      </c>
      <c r="F494" s="18" t="str">
        <f aca="false">IF(D494="","",IF(Parámetros!$B$6="Calendario",D494+1,WORKDAY.INTL(D494,1,Parámetros!$B$8,Parámetros!$D$12:$D$41)))</f>
        <v/>
      </c>
      <c r="G494" s="12"/>
      <c r="H494" s="6"/>
      <c r="I494" s="12"/>
      <c r="J494" s="6"/>
      <c r="K494" s="12"/>
    </row>
    <row r="495" customFormat="false" ht="15" hidden="false" customHeight="false" outlineLevel="0" collapsed="false">
      <c r="A495" s="6"/>
      <c r="B495" s="24" t="str">
        <f aca="false">IF(A495="","",IFERROR(INDEX(Empleados!$B$5:$B$64,MATCH(A495,Empleados!$A$5:$A$64,0)),"ID no encontrado"))</f>
        <v/>
      </c>
      <c r="C495" s="13"/>
      <c r="D495" s="13"/>
      <c r="E495" s="22" t="str">
        <f aca="false">IF(OR(C495="",D495=""),"",IF(Parámetros!$B$6="Calendario",D495-C495+1,NETWORKDAYS.INTL(C495,D495,Parámetros!$B$8,Parámetros!$D$12:$D$41)))</f>
        <v/>
      </c>
      <c r="F495" s="18" t="str">
        <f aca="false">IF(D495="","",IF(Parámetros!$B$6="Calendario",D495+1,WORKDAY.INTL(D495,1,Parámetros!$B$8,Parámetros!$D$12:$D$41)))</f>
        <v/>
      </c>
      <c r="G495" s="12"/>
      <c r="H495" s="6"/>
      <c r="I495" s="12"/>
      <c r="J495" s="6"/>
      <c r="K495" s="12"/>
    </row>
    <row r="496" customFormat="false" ht="15" hidden="false" customHeight="false" outlineLevel="0" collapsed="false">
      <c r="A496" s="6"/>
      <c r="B496" s="24" t="str">
        <f aca="false">IF(A496="","",IFERROR(INDEX(Empleados!$B$5:$B$64,MATCH(A496,Empleados!$A$5:$A$64,0)),"ID no encontrado"))</f>
        <v/>
      </c>
      <c r="C496" s="13"/>
      <c r="D496" s="13"/>
      <c r="E496" s="22" t="str">
        <f aca="false">IF(OR(C496="",D496=""),"",IF(Parámetros!$B$6="Calendario",D496-C496+1,NETWORKDAYS.INTL(C496,D496,Parámetros!$B$8,Parámetros!$D$12:$D$41)))</f>
        <v/>
      </c>
      <c r="F496" s="18" t="str">
        <f aca="false">IF(D496="","",IF(Parámetros!$B$6="Calendario",D496+1,WORKDAY.INTL(D496,1,Parámetros!$B$8,Parámetros!$D$12:$D$41)))</f>
        <v/>
      </c>
      <c r="G496" s="12"/>
      <c r="H496" s="6"/>
      <c r="I496" s="12"/>
      <c r="J496" s="6"/>
      <c r="K496" s="12"/>
    </row>
    <row r="497" customFormat="false" ht="15" hidden="false" customHeight="false" outlineLevel="0" collapsed="false">
      <c r="A497" s="6"/>
      <c r="B497" s="24" t="str">
        <f aca="false">IF(A497="","",IFERROR(INDEX(Empleados!$B$5:$B$64,MATCH(A497,Empleados!$A$5:$A$64,0)),"ID no encontrado"))</f>
        <v/>
      </c>
      <c r="C497" s="13"/>
      <c r="D497" s="13"/>
      <c r="E497" s="22" t="str">
        <f aca="false">IF(OR(C497="",D497=""),"",IF(Parámetros!$B$6="Calendario",D497-C497+1,NETWORKDAYS.INTL(C497,D497,Parámetros!$B$8,Parámetros!$D$12:$D$41)))</f>
        <v/>
      </c>
      <c r="F497" s="18" t="str">
        <f aca="false">IF(D497="","",IF(Parámetros!$B$6="Calendario",D497+1,WORKDAY.INTL(D497,1,Parámetros!$B$8,Parámetros!$D$12:$D$41)))</f>
        <v/>
      </c>
      <c r="G497" s="12"/>
      <c r="H497" s="6"/>
      <c r="I497" s="12"/>
      <c r="J497" s="6"/>
      <c r="K497" s="12"/>
    </row>
    <row r="498" customFormat="false" ht="15" hidden="false" customHeight="false" outlineLevel="0" collapsed="false">
      <c r="A498" s="6"/>
      <c r="B498" s="24" t="str">
        <f aca="false">IF(A498="","",IFERROR(INDEX(Empleados!$B$5:$B$64,MATCH(A498,Empleados!$A$5:$A$64,0)),"ID no encontrado"))</f>
        <v/>
      </c>
      <c r="C498" s="13"/>
      <c r="D498" s="13"/>
      <c r="E498" s="22" t="str">
        <f aca="false">IF(OR(C498="",D498=""),"",IF(Parámetros!$B$6="Calendario",D498-C498+1,NETWORKDAYS.INTL(C498,D498,Parámetros!$B$8,Parámetros!$D$12:$D$41)))</f>
        <v/>
      </c>
      <c r="F498" s="18" t="str">
        <f aca="false">IF(D498="","",IF(Parámetros!$B$6="Calendario",D498+1,WORKDAY.INTL(D498,1,Parámetros!$B$8,Parámetros!$D$12:$D$41)))</f>
        <v/>
      </c>
      <c r="G498" s="12"/>
      <c r="H498" s="6"/>
      <c r="I498" s="12"/>
      <c r="J498" s="6"/>
      <c r="K498" s="12"/>
    </row>
    <row r="499" customFormat="false" ht="15" hidden="false" customHeight="false" outlineLevel="0" collapsed="false">
      <c r="A499" s="6"/>
      <c r="B499" s="24" t="str">
        <f aca="false">IF(A499="","",IFERROR(INDEX(Empleados!$B$5:$B$64,MATCH(A499,Empleados!$A$5:$A$64,0)),"ID no encontrado"))</f>
        <v/>
      </c>
      <c r="C499" s="13"/>
      <c r="D499" s="13"/>
      <c r="E499" s="22" t="str">
        <f aca="false">IF(OR(C499="",D499=""),"",IF(Parámetros!$B$6="Calendario",D499-C499+1,NETWORKDAYS.INTL(C499,D499,Parámetros!$B$8,Parámetros!$D$12:$D$41)))</f>
        <v/>
      </c>
      <c r="F499" s="18" t="str">
        <f aca="false">IF(D499="","",IF(Parámetros!$B$6="Calendario",D499+1,WORKDAY.INTL(D499,1,Parámetros!$B$8,Parámetros!$D$12:$D$41)))</f>
        <v/>
      </c>
      <c r="G499" s="12"/>
      <c r="H499" s="6"/>
      <c r="I499" s="12"/>
      <c r="J499" s="6"/>
      <c r="K499" s="12"/>
    </row>
    <row r="500" customFormat="false" ht="15" hidden="false" customHeight="false" outlineLevel="0" collapsed="false">
      <c r="A500" s="6"/>
      <c r="B500" s="24" t="str">
        <f aca="false">IF(A500="","",IFERROR(INDEX(Empleados!$B$5:$B$64,MATCH(A500,Empleados!$A$5:$A$64,0)),"ID no encontrado"))</f>
        <v/>
      </c>
      <c r="C500" s="13"/>
      <c r="D500" s="13"/>
      <c r="E500" s="22" t="str">
        <f aca="false">IF(OR(C500="",D500=""),"",IF(Parámetros!$B$6="Calendario",D500-C500+1,NETWORKDAYS.INTL(C500,D500,Parámetros!$B$8,Parámetros!$D$12:$D$41)))</f>
        <v/>
      </c>
      <c r="F500" s="18" t="str">
        <f aca="false">IF(D500="","",IF(Parámetros!$B$6="Calendario",D500+1,WORKDAY.INTL(D500,1,Parámetros!$B$8,Parámetros!$D$12:$D$41)))</f>
        <v/>
      </c>
      <c r="G500" s="12"/>
      <c r="H500" s="6"/>
      <c r="I500" s="12"/>
      <c r="J500" s="6"/>
      <c r="K500" s="12"/>
    </row>
    <row r="501" customFormat="false" ht="15" hidden="false" customHeight="false" outlineLevel="0" collapsed="false">
      <c r="A501" s="6"/>
      <c r="B501" s="24" t="str">
        <f aca="false">IF(A501="","",IFERROR(INDEX(Empleados!$B$5:$B$64,MATCH(A501,Empleados!$A$5:$A$64,0)),"ID no encontrado"))</f>
        <v/>
      </c>
      <c r="C501" s="13"/>
      <c r="D501" s="13"/>
      <c r="E501" s="22" t="str">
        <f aca="false">IF(OR(C501="",D501=""),"",IF(Parámetros!$B$6="Calendario",D501-C501+1,NETWORKDAYS.INTL(C501,D501,Parámetros!$B$8,Parámetros!$D$12:$D$41)))</f>
        <v/>
      </c>
      <c r="F501" s="18" t="str">
        <f aca="false">IF(D501="","",IF(Parámetros!$B$6="Calendario",D501+1,WORKDAY.INTL(D501,1,Parámetros!$B$8,Parámetros!$D$12:$D$41)))</f>
        <v/>
      </c>
      <c r="G501" s="12"/>
      <c r="H501" s="6"/>
      <c r="I501" s="12"/>
      <c r="J501" s="6"/>
      <c r="K501" s="12"/>
    </row>
    <row r="502" customFormat="false" ht="15" hidden="false" customHeight="false" outlineLevel="0" collapsed="false">
      <c r="A502" s="6"/>
      <c r="B502" s="24" t="str">
        <f aca="false">IF(A502="","",IFERROR(INDEX(Empleados!$B$5:$B$64,MATCH(A502,Empleados!$A$5:$A$64,0)),"ID no encontrado"))</f>
        <v/>
      </c>
      <c r="C502" s="13"/>
      <c r="D502" s="13"/>
      <c r="E502" s="22" t="str">
        <f aca="false">IF(OR(C502="",D502=""),"",IF(Parámetros!$B$6="Calendario",D502-C502+1,NETWORKDAYS.INTL(C502,D502,Parámetros!$B$8,Parámetros!$D$12:$D$41)))</f>
        <v/>
      </c>
      <c r="F502" s="18" t="str">
        <f aca="false">IF(D502="","",IF(Parámetros!$B$6="Calendario",D502+1,WORKDAY.INTL(D502,1,Parámetros!$B$8,Parámetros!$D$12:$D$41)))</f>
        <v/>
      </c>
      <c r="G502" s="12"/>
      <c r="H502" s="6"/>
      <c r="I502" s="12"/>
      <c r="J502" s="6"/>
      <c r="K502" s="12"/>
    </row>
    <row r="503" customFormat="false" ht="15" hidden="false" customHeight="false" outlineLevel="0" collapsed="false">
      <c r="A503" s="6"/>
      <c r="B503" s="24" t="str">
        <f aca="false">IF(A503="","",IFERROR(INDEX(Empleados!$B$5:$B$64,MATCH(A503,Empleados!$A$5:$A$64,0)),"ID no encontrado"))</f>
        <v/>
      </c>
      <c r="C503" s="13"/>
      <c r="D503" s="13"/>
      <c r="E503" s="22" t="str">
        <f aca="false">IF(OR(C503="",D503=""),"",IF(Parámetros!$B$6="Calendario",D503-C503+1,NETWORKDAYS.INTL(C503,D503,Parámetros!$B$8,Parámetros!$D$12:$D$41)))</f>
        <v/>
      </c>
      <c r="F503" s="18" t="str">
        <f aca="false">IF(D503="","",IF(Parámetros!$B$6="Calendario",D503+1,WORKDAY.INTL(D503,1,Parámetros!$B$8,Parámetros!$D$12:$D$41)))</f>
        <v/>
      </c>
      <c r="G503" s="12"/>
      <c r="H503" s="6"/>
      <c r="I503" s="12"/>
      <c r="J503" s="6"/>
      <c r="K503" s="12"/>
    </row>
    <row r="504" customFormat="false" ht="15" hidden="false" customHeight="false" outlineLevel="0" collapsed="false">
      <c r="A504" s="6"/>
      <c r="B504" s="24" t="str">
        <f aca="false">IF(A504="","",IFERROR(INDEX(Empleados!$B$5:$B$64,MATCH(A504,Empleados!$A$5:$A$64,0)),"ID no encontrado"))</f>
        <v/>
      </c>
      <c r="C504" s="13"/>
      <c r="D504" s="13"/>
      <c r="E504" s="22" t="str">
        <f aca="false">IF(OR(C504="",D504=""),"",IF(Parámetros!$B$6="Calendario",D504-C504+1,NETWORKDAYS.INTL(C504,D504,Parámetros!$B$8,Parámetros!$D$12:$D$41)))</f>
        <v/>
      </c>
      <c r="F504" s="18" t="str">
        <f aca="false">IF(D504="","",IF(Parámetros!$B$6="Calendario",D504+1,WORKDAY.INTL(D504,1,Parámetros!$B$8,Parámetros!$D$12:$D$41)))</f>
        <v/>
      </c>
      <c r="G504" s="12"/>
      <c r="H504" s="6"/>
      <c r="I504" s="12"/>
      <c r="J504" s="6"/>
      <c r="K504" s="12"/>
    </row>
  </sheetData>
  <autoFilter ref="A4:K504"/>
  <conditionalFormatting sqref="A5:K504">
    <cfRule type="expression" priority="2" aboveAverage="0" equalAverage="0" bottom="0" percent="0" rank="0" text="" dxfId="9">
      <formula>$G5="Cancelada"</formula>
    </cfRule>
  </conditionalFormatting>
  <dataValidations count="4">
    <dataValidation allowBlank="true" error="Seleccione un ID registrado en la hoja Empleados." errorStyle="stop" operator="between" showDropDown="false" showErrorMessage="true" showInputMessage="false" sqref="A5:A504" type="list">
      <formula1>Empleados!$A$5:$A$64</formula1>
      <formula2>0</formula2>
    </dataValidation>
    <dataValidation allowBlank="true" errorStyle="stop" operator="between" showDropDown="false" showErrorMessage="false" showInputMessage="false" sqref="G5:G504" type="list">
      <formula1>"Solicitada,Autorizada,Disfrutada,Cancelada"</formula1>
      <formula2>0</formula2>
    </dataValidation>
    <dataValidation allowBlank="true" errorStyle="stop" operator="between" showDropDown="false" showErrorMessage="false" showInputMessage="false" sqref="I5:I504" type="list">
      <formula1>"Sí,No"</formula1>
      <formula2>0</formula2>
    </dataValidation>
    <dataValidation allowBlank="true" error="La fecha de fin debe ser igual o posterior al inicio." errorStyle="stop" operator="between" showDropDown="false" showErrorMessage="true" showInputMessage="false" sqref="D5:D504" type="custom">
      <formula1>AND(ISNUMBER(D5),D5&gt;=C5)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2026-10-26T13:28:06Z</dcterms:created>
  <dc:creator>openpyxl</dc:creator>
  <dc:description/>
  <dc:language>en-US</dc:language>
  <cp:lastModifiedBy/>
  <dcterms:modified xsi:type="dcterms:W3CDTF">2026-10-26T13:28:07Z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